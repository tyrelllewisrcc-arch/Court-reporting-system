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1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Case" sheetId="1" state="visible" r:id="rId1"/>
    <sheet name="Operations" sheetId="2" state="visible" r:id="rId2"/>
    <sheet name="Sheet1" sheetId="3" state="visible" r:id="rId3"/>
    <sheet name="DataBase" sheetId="4" state="visible" r:id="rId4"/>
    <sheet name="Daily_Exports" sheetId="5" state="visible" r:id="rId5"/>
    <sheet name="Monthly_Returns" sheetId="6" state="visible" r:id="rId6"/>
    <sheet name="ChargeMap" sheetId="7" state="visible" r:id="rId7"/>
    <sheet name="Helper" sheetId="8" state="visible" r:id="rId8"/>
    <sheet name="View" sheetId="9" state="visible" r:id="rId9"/>
    <sheet name="Statistics" sheetId="10" state="visible" r:id="rId10"/>
    <sheet name="2026Return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-MMM-YYYY"/>
    <numFmt numFmtId="165" formatCode="0.0%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i val="1"/>
      <color rgb="00808080"/>
      <sz val="9"/>
    </font>
    <font>
      <name val="Calibri"/>
      <b val="1"/>
      <color rgb="001F4E79"/>
      <sz val="14"/>
    </font>
    <font>
      <i val="1"/>
      <color rgb="00555555"/>
      <sz val="9"/>
    </font>
    <font>
      <name val="Calibri"/>
      <b val="1"/>
      <color rgb="001F1F1F"/>
      <sz val="10"/>
    </font>
    <font>
      <name val="Calibri"/>
      <b val="1"/>
      <color rgb="00FFFFFF"/>
      <sz val="14"/>
    </font>
    <font>
      <b val="1"/>
      <color rgb="00FFFFFF"/>
      <sz val="10"/>
    </font>
    <font>
      <b val="1"/>
      <color rgb="001F4E79"/>
      <sz val="9"/>
    </font>
    <font>
      <name val="Calibri"/>
      <b val="1"/>
      <color rgb="00FFFFFF"/>
      <sz val="16"/>
    </font>
    <font>
      <i val="1"/>
      <color rgb="00555555"/>
      <sz val="10"/>
    </font>
    <font>
      <name val="Calibri"/>
      <b val="1"/>
      <color rgb="001F4E79"/>
      <sz val="12"/>
    </font>
    <font>
      <name val="Calibri"/>
      <b val="1"/>
      <color rgb="00FFFFFF"/>
      <sz val="12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F6B75"/>
      </patternFill>
    </fill>
    <fill>
      <patternFill patternType="solid">
        <fgColor rgb="00DEEAF1"/>
      </patternFill>
    </fill>
    <fill>
      <patternFill patternType="solid">
        <fgColor rgb="00003366"/>
      </patternFill>
    </fill>
    <fill>
      <patternFill patternType="solid">
        <fgColor rgb="0000B0C4"/>
      </patternFill>
    </fill>
    <fill>
      <patternFill patternType="solid">
        <fgColor rgb="00375623"/>
      </patternFill>
    </fill>
    <fill>
      <patternFill patternType="solid">
        <fgColor rgb="002E75B6"/>
      </patternFill>
    </fill>
    <fill>
      <patternFill patternType="solid">
        <fgColor rgb="00C65911"/>
      </patternFill>
    </fill>
  </fills>
  <borders count="2">
    <border>
      <left/>
      <right/>
      <top/>
      <bottom/>
      <diagonal/>
    </border>
    <border>
      <left style="thin">
        <color rgb="009DC3E6"/>
      </left>
      <right style="thin">
        <color rgb="009DC3E6"/>
      </right>
      <top style="thin">
        <color rgb="009DC3E6"/>
      </top>
      <bottom style="thin">
        <color rgb="009DC3E6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  <xf numFmtId="0" fontId="6" fillId="5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1" fillId="6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8" fillId="0" borderId="0" pivotButton="0" quotePrefix="0" xfId="0"/>
    <xf numFmtId="0" fontId="7" fillId="3" borderId="0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right" vertical="center"/>
    </xf>
    <xf numFmtId="165" fontId="0" fillId="0" borderId="0" pivotButton="0" quotePrefix="0" xfId="0"/>
    <xf numFmtId="0" fontId="12" fillId="9" borderId="0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ables/table1.xml><?xml version="1.0" encoding="utf-8"?>
<table xmlns="http://schemas.openxmlformats.org/spreadsheetml/2006/main" id="1" name="tblActive" displayName="tblActive" ref="A1:R2" headerRowCount="1">
  <autoFilter ref="A1:R2"/>
  <tableColumns count="18">
    <tableColumn id="1" name="CourtBookNo"/>
    <tableColumn id="2" name="DateOfOccurence"/>
    <tableColumn id="3" name="ArraignmentDate"/>
    <tableColumn id="4" name="ArrestingOfficer"/>
    <tableColumn id="5" name="Station"/>
    <tableColumn id="6" name="ComplainantVictim"/>
    <tableColumn id="7" name="Defendant"/>
    <tableColumn id="8" name="Sex"/>
    <tableColumn id="9" name="Age"/>
    <tableColumn id="10" name="DOB"/>
    <tableColumn id="11" name="Address"/>
    <tableColumn id="12" name="CaseFileReceived"/>
    <tableColumn id="13" name="Charge"/>
    <tableColumn id="14" name="NextHearingDate"/>
    <tableColumn id="15" name="Remark"/>
    <tableColumn id="16" name="Further Remark"/>
    <tableColumn id="17" name="Outcome"/>
    <tableColumn id="18" name="Concluded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Ops" displayName="tblOps" ref="A8:T9" headerRowCount="1">
  <autoFilter ref="A8:T9"/>
  <tableColumns count="20">
    <tableColumn id="1" name="CourtBookNo"/>
    <tableColumn id="2" name="DateOfOccurence"/>
    <tableColumn id="3" name="ArraignmentDate"/>
    <tableColumn id="4" name="ArrestingOfficer"/>
    <tableColumn id="5" name="Station"/>
    <tableColumn id="6" name="ComplainantVictim"/>
    <tableColumn id="7" name="Defendant"/>
    <tableColumn id="8" name="Sex"/>
    <tableColumn id="9" name="Age"/>
    <tableColumn id="10" name="DOB"/>
    <tableColumn id="11" name="Address"/>
    <tableColumn id="12" name="CaseFileReceived"/>
    <tableColumn id="13" name="Charge"/>
    <tableColumn id="14" name="NextHearingDate"/>
    <tableColumn id="15" name="Remark"/>
    <tableColumn id="16" name="Further Remark"/>
    <tableColumn id="17" name="Outcome"/>
    <tableColumn id="18" name="ConcludedDate"/>
    <tableColumn id="19" name="EntryDate"/>
    <tableColumn id="20" name="DateUpdated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blDataBase" displayName="tblDataBase" ref="A3:T4" headerRowCount="1">
  <autoFilter ref="A3:T4"/>
  <tableColumns count="20">
    <tableColumn id="1" name="CourtBookNo"/>
    <tableColumn id="2" name="DateOfOccurence"/>
    <tableColumn id="3" name="ArraignmentDate"/>
    <tableColumn id="4" name="ArrestingOfficer"/>
    <tableColumn id="5" name="Station"/>
    <tableColumn id="6" name="ComplainantVictim"/>
    <tableColumn id="7" name="Defendant"/>
    <tableColumn id="8" name="Sex"/>
    <tableColumn id="9" name="Age"/>
    <tableColumn id="10" name="DOB"/>
    <tableColumn id="11" name="Address"/>
    <tableColumn id="12" name="CaseFileReceived"/>
    <tableColumn id="13" name="Charge"/>
    <tableColumn id="14" name="NextHearingDate"/>
    <tableColumn id="15" name="Remark"/>
    <tableColumn id="16" name="Further Remark"/>
    <tableColumn id="17" name="Outcome"/>
    <tableColumn id="18" name="ConcludedDate"/>
    <tableColumn id="19" name="EntryDate"/>
    <tableColumn id="20" name="DateUpdate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DailyExports" displayName="tblDailyExports" ref="A9:O10" headerRowCount="1">
  <autoFilter ref="A9:O10"/>
  <tableColumns count="15">
    <tableColumn id="1" name="CourtBookNo"/>
    <tableColumn id="2" name="DateOfOccurence"/>
    <tableColumn id="3" name="ArraignmentDate"/>
    <tableColumn id="4" name="ArrestingOfficer"/>
    <tableColumn id="5" name="Station"/>
    <tableColumn id="6" name="ComplainantVictim"/>
    <tableColumn id="7" name="Defendant"/>
    <tableColumn id="8" name="Sex"/>
    <tableColumn id="9" name="Age"/>
    <tableColumn id="10" name="DOB"/>
    <tableColumn id="11" name="Address"/>
    <tableColumn id="12" name="Charge"/>
    <tableColumn id="13" name="Further Remark"/>
    <tableColumn id="14" name="Outcome"/>
    <tableColumn id="15" name="ConcludedDat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blReturnCount" displayName="tblReturnCount" ref="E2:N5" headerRowCount="1">
  <autoFilter ref="E2:N5"/>
  <tableColumns count="10">
    <tableColumn id="5" name="Station"/>
    <tableColumn id="6" name="P.I Conducted"/>
    <tableColumn id="7" name="Struck Out"/>
    <tableColumn id="8" name="Bond Over"/>
    <tableColumn id="9" name="Withdrawn"/>
    <tableColumn id="10" name="Dismissed"/>
    <tableColumn id="11" name="Conditional Discharged"/>
    <tableColumn id="12" name="Convicted"/>
    <tableColumn id="13" name="Acquitted"/>
    <tableColumn id="14" name="Total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Returns" displayName="tblReturns" ref="A9:O10" headerRowCount="1">
  <autoFilter ref="A9:O10"/>
  <tableColumns count="15">
    <tableColumn id="1" name="CourtBookNo"/>
    <tableColumn id="2" name="DateOfOccurence"/>
    <tableColumn id="3" name="ArraignmentDate"/>
    <tableColumn id="4" name="ArrestingOfficer"/>
    <tableColumn id="5" name="Station"/>
    <tableColumn id="6" name="ComplainantVictim"/>
    <tableColumn id="7" name="Defendant"/>
    <tableColumn id="8" name="Sex"/>
    <tableColumn id="9" name="Age"/>
    <tableColumn id="10" name="DOB"/>
    <tableColumn id="11" name="Address"/>
    <tableColumn id="12" name="Charge"/>
    <tableColumn id="13" name="Further Remark"/>
    <tableColumn id="14" name="Outcome"/>
    <tableColumn id="15" name="ConcludedDat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blChargeMap" displayName="tblChargeMap" ref="A6:G167" headerRowCount="1">
  <autoFilter ref="A6:G167"/>
  <tableColumns count="7">
    <tableColumn id="1" name="ChargeName"/>
    <tableColumn id="2" name="PriorityRank"/>
    <tableColumn id="3" name="AnnexureNature"/>
    <tableColumn id="4" name="AnnexureSubCategory"/>
    <tableColumn id="5" name="IsStatutory"/>
    <tableColumn id="6" name="StatutoryNature"/>
    <tableColumn id="7" name="StatOverride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blOutcomes" displayName="tblOutcomes" ref="A3:B15" headerRowCount="1">
  <autoFilter ref="A3:B15"/>
  <tableColumns count="2">
    <tableColumn id="1" name="OutcomeText"/>
    <tableColumn id="2" name="CaseStatusBucket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9" name="tblStatPatterns" displayName="tblStatPatterns" ref="E3:F28" headerRowCount="1">
  <autoFilter ref="E3:F28"/>
  <tableColumns count="2">
    <tableColumn id="5" name="Pattern"/>
    <tableColumn id="6" name="StatutoryNature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0" name="tblStatNature" displayName="tblStatNature" ref="H3:H10" headerRowCount="1">
  <autoFilter ref="H3:H10"/>
  <tableColumns count="1">
    <tableColumn id="8" name="StatutoryNature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11" name="tblOfficers" displayName="tblOfficers" ref="J3:J39" headerRowCount="1">
  <autoFilter ref="J3:J39"/>
  <tableColumns count="1">
    <tableColumn id="10" name="ArrestingOfficer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id="12" name="tblStations" displayName="tblStations" ref="L3:L5" headerRowCount="1">
  <autoFilter ref="L3:L5"/>
  <tableColumns count="1">
    <tableColumn id="12" name="Station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id="13" name="tbl2026Returns" displayName="tbl2026Returns" ref="A5:T6" headerRowCount="1">
  <autoFilter ref="A5:T6"/>
  <tableColumns count="20">
    <tableColumn id="1" name="CourtBookNo"/>
    <tableColumn id="2" name="DateOfOccurence"/>
    <tableColumn id="3" name="ArraignmentDate"/>
    <tableColumn id="4" name="ArrestingOfficer"/>
    <tableColumn id="5" name="Station"/>
    <tableColumn id="6" name="ComplainantVictim"/>
    <tableColumn id="7" name="Defendant"/>
    <tableColumn id="8" name="Sex"/>
    <tableColumn id="9" name="Age"/>
    <tableColumn id="10" name="DOB"/>
    <tableColumn id="11" name="Address"/>
    <tableColumn id="12" name="CaseFileReceived"/>
    <tableColumn id="13" name="Charge"/>
    <tableColumn id="14" name="NextHearingDate"/>
    <tableColumn id="15" name="Remark"/>
    <tableColumn id="16" name="Further Remark"/>
    <tableColumn id="17" name="Outcome"/>
    <tableColumn id="18" name="ConcludedDate"/>
    <tableColumn id="19" name="EntryDate"/>
    <tableColumn id="20" name="DateUpdat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Relationship Type="http://schemas.openxmlformats.org/officeDocument/2006/relationships/table" Target="/xl/tables/table6.xml" Id="rId2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Relationship Type="http://schemas.openxmlformats.org/officeDocument/2006/relationships/table" Target="/xl/tables/table9.xml" Id="rId2" /><Relationship Type="http://schemas.openxmlformats.org/officeDocument/2006/relationships/table" Target="/xl/tables/table10.xml" Id="rId3" /><Relationship Type="http://schemas.openxmlformats.org/officeDocument/2006/relationships/table" Target="/xl/tables/table11.xml" Id="rId4" /><Relationship Type="http://schemas.openxmlformats.org/officeDocument/2006/relationships/table" Target="/xl/tables/table12.xml" Id="rId5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24" customWidth="1" min="4" max="4"/>
    <col width="13" customWidth="1" min="5" max="5"/>
    <col width="24" customWidth="1" min="6" max="6"/>
    <col width="24" customWidth="1" min="7" max="7"/>
    <col width="5" customWidth="1" min="8" max="8"/>
    <col width="6" customWidth="1" min="9" max="9"/>
    <col width="13" customWidth="1" min="10" max="10"/>
    <col width="28" customWidth="1" min="11" max="11"/>
    <col width="13" customWidth="1" min="12" max="12"/>
    <col width="40" customWidth="1" min="13" max="13"/>
    <col width="13" customWidth="1" min="14" max="14"/>
    <col width="30" customWidth="1" min="15" max="15"/>
    <col width="35" customWidth="1" min="16" max="16"/>
    <col width="20" customWidth="1" min="17" max="17"/>
    <col width="13" customWidth="1" min="18" max="18"/>
  </cols>
  <sheetData>
    <row r="1" ht="30" customHeight="1">
      <c r="A1" s="1" t="inlineStr">
        <is>
          <t>CourtBookNo</t>
        </is>
      </c>
      <c r="B1" s="1" t="inlineStr">
        <is>
          <t>DateOfOccurence</t>
        </is>
      </c>
      <c r="C1" s="1" t="inlineStr">
        <is>
          <t>ArraignmentDate</t>
        </is>
      </c>
      <c r="D1" s="1" t="inlineStr">
        <is>
          <t>ArrestingOfficer</t>
        </is>
      </c>
      <c r="E1" s="1" t="inlineStr">
        <is>
          <t>Station</t>
        </is>
      </c>
      <c r="F1" s="1" t="inlineStr">
        <is>
          <t>ComplainantVictim</t>
        </is>
      </c>
      <c r="G1" s="1" t="inlineStr">
        <is>
          <t>Defendant</t>
        </is>
      </c>
      <c r="H1" s="1" t="inlineStr">
        <is>
          <t>Sex</t>
        </is>
      </c>
      <c r="I1" s="1" t="inlineStr">
        <is>
          <t>Age</t>
        </is>
      </c>
      <c r="J1" s="1" t="inlineStr">
        <is>
          <t>DOB</t>
        </is>
      </c>
      <c r="K1" s="1" t="inlineStr">
        <is>
          <t>Address</t>
        </is>
      </c>
      <c r="L1" s="1" t="inlineStr">
        <is>
          <t>CaseFileReceived</t>
        </is>
      </c>
      <c r="M1" s="1" t="inlineStr">
        <is>
          <t>Charge</t>
        </is>
      </c>
      <c r="N1" s="1" t="inlineStr">
        <is>
          <t>NextHearingDate</t>
        </is>
      </c>
      <c r="O1" s="1" t="inlineStr">
        <is>
          <t>Remark</t>
        </is>
      </c>
      <c r="P1" s="1" t="inlineStr">
        <is>
          <t>Further Remark</t>
        </is>
      </c>
      <c r="Q1" s="1" t="inlineStr">
        <is>
          <t>Outcome</t>
        </is>
      </c>
      <c r="R1" s="1" t="inlineStr">
        <is>
          <t>ConcludedDate</t>
        </is>
      </c>
      <c r="T1" s="2" t="inlineStr">
        <is>
          <t>← Enter new active cases directly into this table</t>
        </is>
      </c>
    </row>
  </sheetData>
  <dataValidations count="4">
    <dataValidation sqref="E2:E10000" showDropDown="0" showInputMessage="0" showErrorMessage="1" allowBlank="1" errorTitle="Invalid Input" error="Please select from the list." type="list">
      <formula1>"San Pedro,Caye Caulker"</formula1>
    </dataValidation>
    <dataValidation sqref="H2:H10000" showDropDown="0" showInputMessage="0" showErrorMessage="1" allowBlank="1" errorTitle="Invalid Input" error="Please select from the list." type="list">
      <formula1>"M,F"</formula1>
    </dataValidation>
    <dataValidation sqref="L2:L10000" showDropDown="0" showInputMessage="0" showErrorMessage="1" allowBlank="1" errorTitle="Invalid Input" error="Please select from the list." type="list">
      <formula1>"Yes,No"</formula1>
    </dataValidation>
    <dataValidation sqref="Q2:Q10000" showDropDown="0" showInputMessage="0" showErrorMessage="1" allowBlank="1" errorTitle="Invalid Input" error="Please select from the list." type="list">
      <formula1>"P.I Conducted,Struck Out,Bond Over,Withdrawn,Dismissed,Conditional Discharged,Convicted,Acquitted,Adjourned,Set for trial,Set for P.I.,Bench Warrant"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24" customWidth="1" min="4" max="4"/>
    <col width="13" customWidth="1" min="5" max="5"/>
    <col width="24" customWidth="1" min="6" max="6"/>
    <col width="24" customWidth="1" min="7" max="7"/>
    <col width="5" customWidth="1" min="8" max="8"/>
    <col width="6" customWidth="1" min="9" max="9"/>
    <col width="13" customWidth="1" min="10" max="10"/>
    <col width="28" customWidth="1" min="11" max="11"/>
    <col width="13" customWidth="1" min="12" max="12"/>
    <col width="40" customWidth="1" min="13" max="13"/>
    <col width="13" customWidth="1" min="14" max="14"/>
    <col width="30" customWidth="1" min="15" max="15"/>
    <col width="35" customWidth="1" min="16" max="16"/>
    <col width="20" customWidth="1" min="17" max="17"/>
    <col width="13" customWidth="1" min="18" max="18"/>
    <col width="13" customWidth="1" min="19" max="19"/>
    <col width="13" customWidth="1" min="20" max="20"/>
  </cols>
  <sheetData>
    <row r="1">
      <c r="A1" s="3" t="inlineStr">
        <is>
          <t>OPERATIONS REGISTER</t>
        </is>
      </c>
    </row>
    <row r="3">
      <c r="A3" s="4" t="inlineStr">
        <is>
          <t>Enter the CourtBookNo in column A — all case details auto-fill from DataBase via XLOOKUP.</t>
        </is>
      </c>
    </row>
    <row r="4">
      <c r="A4" s="4" t="inlineStr">
        <is>
          <t>Columns N–R (NextHearingDate, Remark, Further Remark, Outcome, ConcludedDate) are entered manually.</t>
        </is>
      </c>
    </row>
    <row r="8" ht="32" customHeight="1">
      <c r="A8" s="5" t="inlineStr">
        <is>
          <t>CourtBookNo</t>
        </is>
      </c>
      <c r="B8" s="5" t="inlineStr">
        <is>
          <t>DateOfOccurence</t>
        </is>
      </c>
      <c r="C8" s="5" t="inlineStr">
        <is>
          <t>ArraignmentDate</t>
        </is>
      </c>
      <c r="D8" s="5" t="inlineStr">
        <is>
          <t>ArrestingOfficer</t>
        </is>
      </c>
      <c r="E8" s="5" t="inlineStr">
        <is>
          <t>Station</t>
        </is>
      </c>
      <c r="F8" s="5" t="inlineStr">
        <is>
          <t>ComplainantVictim</t>
        </is>
      </c>
      <c r="G8" s="5" t="inlineStr">
        <is>
          <t>Defendant</t>
        </is>
      </c>
      <c r="H8" s="5" t="inlineStr">
        <is>
          <t>Sex</t>
        </is>
      </c>
      <c r="I8" s="5" t="inlineStr">
        <is>
          <t>Age</t>
        </is>
      </c>
      <c r="J8" s="5" t="inlineStr">
        <is>
          <t>DOB</t>
        </is>
      </c>
      <c r="K8" s="5" t="inlineStr">
        <is>
          <t>Address</t>
        </is>
      </c>
      <c r="L8" s="5" t="inlineStr">
        <is>
          <t>CaseFileReceived</t>
        </is>
      </c>
      <c r="M8" s="5" t="inlineStr">
        <is>
          <t>Charge</t>
        </is>
      </c>
      <c r="N8" s="5" t="inlineStr">
        <is>
          <t>NextHearingDate</t>
        </is>
      </c>
      <c r="O8" s="5" t="inlineStr">
        <is>
          <t>Remark</t>
        </is>
      </c>
      <c r="P8" s="5" t="inlineStr">
        <is>
          <t>Further Remark</t>
        </is>
      </c>
      <c r="Q8" s="5" t="inlineStr">
        <is>
          <t>Outcome</t>
        </is>
      </c>
      <c r="R8" s="5" t="inlineStr">
        <is>
          <t>ConcludedDate</t>
        </is>
      </c>
      <c r="S8" s="5" t="inlineStr">
        <is>
          <t>EntryDate</t>
        </is>
      </c>
      <c r="T8" s="5" t="inlineStr">
        <is>
          <t>DateUpdated</t>
        </is>
      </c>
    </row>
    <row r="9">
      <c r="B9">
        <f>IF([@CourtBookNo]="","",XLOOKUP([@CourtBookNo],tblDataBase[CourtBookNo],tblDataBase[DateOfOccurence],""))</f>
        <v/>
      </c>
      <c r="C9">
        <f>IF([@CourtBookNo]="","",XLOOKUP([@CourtBookNo],tblDataBase[CourtBookNo],tblDataBase[ArraignmentDate],""))</f>
        <v/>
      </c>
      <c r="D9">
        <f>IF([@CourtBookNo]="","",XLOOKUP([@CourtBookNo],tblDataBase[CourtBookNo],tblDataBase[ArrestingOfficer],""))</f>
        <v/>
      </c>
      <c r="E9">
        <f>IF([@CourtBookNo]="","",XLOOKUP([@CourtBookNo],tblDataBase[CourtBookNo],tblDataBase[Station],""))</f>
        <v/>
      </c>
      <c r="F9">
        <f>IF([@CourtBookNo]="","",XLOOKUP([@CourtBookNo],tblDataBase[CourtBookNo],tblDataBase[ComplainantVictim],""))</f>
        <v/>
      </c>
      <c r="G9">
        <f>IF([@CourtBookNo]="","",XLOOKUP([@CourtBookNo],tblDataBase[CourtBookNo],tblDataBase[Defendant],""))</f>
        <v/>
      </c>
      <c r="H9">
        <f>IF([@CourtBookNo]="","",XLOOKUP([@CourtBookNo],tblDataBase[CourtBookNo],tblDataBase[Sex],""))</f>
        <v/>
      </c>
      <c r="I9">
        <f>IF([@CourtBookNo]="","",IFERROR(DATEDIF([@DOB],TODAY(),"Y"),""))</f>
        <v/>
      </c>
      <c r="J9">
        <f>IF([@CourtBookNo]="","",XLOOKUP([@CourtBookNo],tblDataBase[CourtBookNo],tblDataBase[DOB],""))</f>
        <v/>
      </c>
      <c r="K9">
        <f>IF([@CourtBookNo]="","",XLOOKUP([@CourtBookNo],tblDataBase[CourtBookNo],tblDataBase[Address],""))</f>
        <v/>
      </c>
      <c r="L9">
        <f>IF([@CourtBookNo]="","",XLOOKUP([@CourtBookNo],tblDataBase[CourtBookNo],tblDataBase[CaseFileReceived],""))</f>
        <v/>
      </c>
      <c r="M9">
        <f>IF([@CourtBookNo]="","",XLOOKUP([@CourtBookNo],tblDataBase[CourtBookNo],tblDataBase[Charge],""))</f>
        <v/>
      </c>
      <c r="S9">
        <f>[@ArraignmentDate]</f>
        <v/>
      </c>
      <c r="T9">
        <f>TODAY()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6" t="inlineStr">
        <is>
          <t>CourtCIMS System Configuration</t>
        </is>
      </c>
    </row>
    <row r="3">
      <c r="A3" s="7" t="inlineStr">
        <is>
          <t>System Version</t>
        </is>
      </c>
      <c r="B3" s="8" t="inlineStr">
        <is>
          <t>CourtCIMSV4</t>
        </is>
      </c>
    </row>
    <row r="4">
      <c r="A4" s="7" t="inlineStr">
        <is>
          <t>Court Name</t>
        </is>
      </c>
      <c r="B4" s="8" t="inlineStr">
        <is>
          <t>San Pedro Magistrate Court</t>
        </is>
      </c>
    </row>
    <row r="5">
      <c r="A5" s="7" t="inlineStr">
        <is>
          <t>Jurisdiction</t>
        </is>
      </c>
      <c r="B5" s="8" t="inlineStr">
        <is>
          <t>Belize</t>
        </is>
      </c>
    </row>
    <row r="6">
      <c r="A6" s="7" t="inlineStr">
        <is>
          <t>Prosecutor</t>
        </is>
      </c>
      <c r="B6" s="8" t="inlineStr">
        <is>
          <t>Claude Pitts SGT 920</t>
        </is>
      </c>
    </row>
    <row r="7">
      <c r="A7" s="7" t="inlineStr">
        <is>
          <t>Magistrate</t>
        </is>
      </c>
      <c r="B7" s="8" t="inlineStr">
        <is>
          <t>Ms. T. Brown</t>
        </is>
      </c>
    </row>
    <row r="8">
      <c r="A8" s="7" t="inlineStr">
        <is>
          <t>Supervisor</t>
        </is>
      </c>
      <c r="B8" s="8" t="inlineStr">
        <is>
          <t>Supt. Egbert Castellanos</t>
        </is>
      </c>
    </row>
    <row r="9">
      <c r="A9" s="7" t="inlineStr">
        <is>
          <t>Last Updated</t>
        </is>
      </c>
      <c r="B9" s="9">
        <f>TODAY()</f>
        <v/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"/>
  <sheetViews>
    <sheetView showGridLines="1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24" customWidth="1" min="4" max="4"/>
    <col width="13" customWidth="1" min="5" max="5"/>
    <col width="24" customWidth="1" min="6" max="6"/>
    <col width="24" customWidth="1" min="7" max="7"/>
    <col width="5" customWidth="1" min="8" max="8"/>
    <col width="6" customWidth="1" min="9" max="9"/>
    <col width="13" customWidth="1" min="10" max="10"/>
    <col width="28" customWidth="1" min="11" max="11"/>
    <col width="13" customWidth="1" min="12" max="12"/>
    <col width="40" customWidth="1" min="13" max="13"/>
    <col width="13" customWidth="1" min="14" max="14"/>
    <col width="30" customWidth="1" min="15" max="15"/>
    <col width="35" customWidth="1" min="16" max="16"/>
    <col width="20" customWidth="1" min="17" max="17"/>
    <col width="13" customWidth="1" min="18" max="18"/>
    <col width="13" customWidth="1" min="19" max="19"/>
    <col width="13" customWidth="1" min="20" max="20"/>
  </cols>
  <sheetData>
    <row r="1" ht="14" customHeight="1">
      <c r="A1" s="4" t="inlineStr">
        <is>
          <t>MASTER DATABASE  — All cases (active + disposed). Do NOT delete rows; archive by year.</t>
        </is>
      </c>
    </row>
    <row r="3" ht="32" customHeight="1">
      <c r="A3" s="1" t="inlineStr">
        <is>
          <t>CourtBookNo</t>
        </is>
      </c>
      <c r="B3" s="1" t="inlineStr">
        <is>
          <t>DateOfOccurence</t>
        </is>
      </c>
      <c r="C3" s="1" t="inlineStr">
        <is>
          <t>ArraignmentDate</t>
        </is>
      </c>
      <c r="D3" s="1" t="inlineStr">
        <is>
          <t>ArrestingOfficer</t>
        </is>
      </c>
      <c r="E3" s="1" t="inlineStr">
        <is>
          <t>Station</t>
        </is>
      </c>
      <c r="F3" s="1" t="inlineStr">
        <is>
          <t>ComplainantVictim</t>
        </is>
      </c>
      <c r="G3" s="1" t="inlineStr">
        <is>
          <t>Defendant</t>
        </is>
      </c>
      <c r="H3" s="1" t="inlineStr">
        <is>
          <t>Sex</t>
        </is>
      </c>
      <c r="I3" s="1" t="inlineStr">
        <is>
          <t>Age</t>
        </is>
      </c>
      <c r="J3" s="1" t="inlineStr">
        <is>
          <t>DOB</t>
        </is>
      </c>
      <c r="K3" s="1" t="inlineStr">
        <is>
          <t>Address</t>
        </is>
      </c>
      <c r="L3" s="1" t="inlineStr">
        <is>
          <t>CaseFileReceived</t>
        </is>
      </c>
      <c r="M3" s="1" t="inlineStr">
        <is>
          <t>Charge</t>
        </is>
      </c>
      <c r="N3" s="1" t="inlineStr">
        <is>
          <t>NextHearingDate</t>
        </is>
      </c>
      <c r="O3" s="1" t="inlineStr">
        <is>
          <t>Remark</t>
        </is>
      </c>
      <c r="P3" s="1" t="inlineStr">
        <is>
          <t>Further Remark</t>
        </is>
      </c>
      <c r="Q3" s="1" t="inlineStr">
        <is>
          <t>Outcome</t>
        </is>
      </c>
      <c r="R3" s="1" t="inlineStr">
        <is>
          <t>ConcludedDate</t>
        </is>
      </c>
      <c r="S3" s="1" t="inlineStr">
        <is>
          <t>EntryDate</t>
        </is>
      </c>
      <c r="T3" s="1" t="inlineStr">
        <is>
          <t>DateUpdated</t>
        </is>
      </c>
    </row>
  </sheetData>
  <dataValidations count="4">
    <dataValidation sqref="E5:E50000" showDropDown="0" showInputMessage="0" showErrorMessage="1" allowBlank="1" errorTitle="Invalid Input" error="Please select from the list." type="list">
      <formula1>"San Pedro,Caye Caulker"</formula1>
    </dataValidation>
    <dataValidation sqref="H5:H50000" showDropDown="0" showInputMessage="0" showErrorMessage="1" allowBlank="1" errorTitle="Invalid Input" error="Please select from the list." type="list">
      <formula1>"M,F"</formula1>
    </dataValidation>
    <dataValidation sqref="L5:L50000" showDropDown="0" showInputMessage="0" showErrorMessage="1" allowBlank="1" errorTitle="Invalid Input" error="Please select from the list." type="list">
      <formula1>"Yes,No"</formula1>
    </dataValidation>
    <dataValidation sqref="Q5:Q50000" showDropDown="0" showInputMessage="0" showErrorMessage="1" allowBlank="1" errorTitle="Invalid Input" error="Please select from the list." type="list">
      <formula1>"P.I Conducted,Struck Out,Bond Over,Withdrawn,Dismissed,Conditional Discharged,Convicted,Acquitted,Adjourned,Set for trial,Set for P.I.,Bench Warrant"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24" customWidth="1" min="4" max="4"/>
    <col width="13" customWidth="1" min="5" max="5"/>
    <col width="24" customWidth="1" min="6" max="6"/>
    <col width="24" customWidth="1" min="7" max="7"/>
    <col width="5" customWidth="1" min="8" max="8"/>
    <col width="6" customWidth="1" min="9" max="9"/>
    <col width="13" customWidth="1" min="10" max="10"/>
    <col width="28" customWidth="1" min="11" max="11"/>
    <col width="40" customWidth="1" min="12" max="12"/>
    <col width="30" customWidth="1" min="13" max="13"/>
    <col width="18" customWidth="1" min="14" max="14"/>
    <col width="13" customWidth="1" min="15" max="15"/>
  </cols>
  <sheetData>
    <row r="1" ht="28" customHeight="1">
      <c r="A1" s="10" t="inlineStr">
        <is>
          <t>Belize Police Department</t>
        </is>
      </c>
    </row>
    <row r="2">
      <c r="A2" s="7" t="inlineStr">
        <is>
          <t>From:</t>
        </is>
      </c>
      <c r="B2" t="inlineStr">
        <is>
          <t>Claude Pitts SGT 920</t>
        </is>
      </c>
    </row>
    <row r="3">
      <c r="A3" s="7" t="inlineStr">
        <is>
          <t>To:</t>
        </is>
      </c>
      <c r="B3" t="inlineStr">
        <is>
          <t>OC Prosecution Branch, I/C CRO Office, Compol HNCIB</t>
        </is>
      </c>
    </row>
    <row r="4">
      <c r="A4" s="7" t="inlineStr">
        <is>
          <t>Thru:</t>
        </is>
      </c>
      <c r="B4" t="inlineStr">
        <is>
          <t>Supt. Egbert Castellanos ( OC San Pedro Sub Formation)</t>
        </is>
      </c>
    </row>
    <row r="5">
      <c r="A5" s="7" t="inlineStr">
        <is>
          <t>Subject:</t>
        </is>
      </c>
      <c r="B5">
        <f>"San Pedro Magistrate Court Daily Sitrep for "&amp;TEXT(TODAY(),"dd-mmm-yyyy")</f>
        <v/>
      </c>
    </row>
    <row r="6">
      <c r="A6" s="7" t="inlineStr">
        <is>
          <t>Dated:</t>
        </is>
      </c>
      <c r="B6" s="11">
        <f>TODAY()</f>
        <v/>
      </c>
    </row>
    <row r="7" ht="8" customHeight="1"/>
    <row r="8" ht="8" customHeight="1"/>
    <row r="9" ht="30" customHeight="1">
      <c r="A9" s="12" t="inlineStr">
        <is>
          <t>CourtBookNo</t>
        </is>
      </c>
      <c r="B9" s="12" t="inlineStr">
        <is>
          <t>DateOfOccurence</t>
        </is>
      </c>
      <c r="C9" s="12" t="inlineStr">
        <is>
          <t>ArraignmentDate</t>
        </is>
      </c>
      <c r="D9" s="12" t="inlineStr">
        <is>
          <t>ArrestingOfficer</t>
        </is>
      </c>
      <c r="E9" s="12" t="inlineStr">
        <is>
          <t>Station</t>
        </is>
      </c>
      <c r="F9" s="12" t="inlineStr">
        <is>
          <t>ComplainantVictim</t>
        </is>
      </c>
      <c r="G9" s="12" t="inlineStr">
        <is>
          <t>Defendant</t>
        </is>
      </c>
      <c r="H9" s="12" t="inlineStr">
        <is>
          <t>Sex</t>
        </is>
      </c>
      <c r="I9" s="12" t="inlineStr">
        <is>
          <t>Age</t>
        </is>
      </c>
      <c r="J9" s="12" t="inlineStr">
        <is>
          <t>DOB</t>
        </is>
      </c>
      <c r="K9" s="12" t="inlineStr">
        <is>
          <t>Address</t>
        </is>
      </c>
      <c r="L9" s="12" t="inlineStr">
        <is>
          <t>Charge</t>
        </is>
      </c>
      <c r="M9" s="12" t="inlineStr">
        <is>
          <t>Further Remark</t>
        </is>
      </c>
      <c r="N9" s="12" t="inlineStr">
        <is>
          <t>Outcome</t>
        </is>
      </c>
      <c r="O9" s="12" t="inlineStr">
        <is>
          <t>ConcludedDate</t>
        </is>
      </c>
    </row>
  </sheetData>
  <mergeCells count="1">
    <mergeCell ref="A1:R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O9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24" customWidth="1" min="4" max="4"/>
    <col width="13" customWidth="1" min="5" max="5"/>
    <col width="24" customWidth="1" min="6" max="6"/>
    <col width="24" customWidth="1" min="7" max="7"/>
    <col width="5" customWidth="1" min="8" max="8"/>
    <col width="6" customWidth="1" min="9" max="9"/>
    <col width="13" customWidth="1" min="10" max="10"/>
    <col width="28" customWidth="1" min="11" max="11"/>
    <col width="40" customWidth="1" min="12" max="12"/>
    <col width="30" customWidth="1" min="13" max="13"/>
    <col width="18" customWidth="1" min="14" max="14"/>
    <col width="13" customWidth="1" min="15" max="15"/>
  </cols>
  <sheetData>
    <row r="2">
      <c r="A2" s="7" t="inlineStr">
        <is>
          <t>Reporting Period</t>
        </is>
      </c>
      <c r="B2" t="inlineStr"/>
      <c r="E2" s="13" t="inlineStr">
        <is>
          <t>Station</t>
        </is>
      </c>
      <c r="F2" s="13" t="inlineStr">
        <is>
          <t>P.I Conducted</t>
        </is>
      </c>
      <c r="G2" s="13" t="inlineStr">
        <is>
          <t>Struck Out</t>
        </is>
      </c>
      <c r="H2" s="13" t="inlineStr">
        <is>
          <t>Bond Over</t>
        </is>
      </c>
      <c r="I2" s="13" t="inlineStr">
        <is>
          <t>Withdrawn</t>
        </is>
      </c>
      <c r="J2" s="13" t="inlineStr">
        <is>
          <t>Dismissed</t>
        </is>
      </c>
      <c r="K2" s="13" t="inlineStr">
        <is>
          <t>Conditional Discharged</t>
        </is>
      </c>
      <c r="L2" s="13" t="inlineStr">
        <is>
          <t>Convicted</t>
        </is>
      </c>
      <c r="M2" s="13" t="inlineStr">
        <is>
          <t>Acquitted</t>
        </is>
      </c>
      <c r="N2" s="13" t="inlineStr">
        <is>
          <t>Total</t>
        </is>
      </c>
    </row>
    <row r="3">
      <c r="A3" s="7" t="inlineStr">
        <is>
          <t>Court No.</t>
        </is>
      </c>
      <c r="B3" t="inlineStr">
        <is>
          <t>San Pedro Magistrate Court</t>
        </is>
      </c>
      <c r="E3" s="7" t="inlineStr">
        <is>
          <t>San Pedro</t>
        </is>
      </c>
      <c r="F3">
        <f>COUNTIFS(tblReturns[Station],"San Pedro",tblReturns[Outcome],"P.I Conducted")</f>
        <v/>
      </c>
      <c r="G3">
        <f>COUNTIFS(tblReturns[Station],"San Pedro",tblReturns[Outcome],"Struck Out")</f>
        <v/>
      </c>
      <c r="H3">
        <f>COUNTIFS(tblReturns[Station],"San Pedro",tblReturns[Outcome],"Bond Over")</f>
        <v/>
      </c>
      <c r="I3">
        <f>COUNTIFS(tblReturns[Station],"San Pedro",tblReturns[Outcome],"Withdrawn")</f>
        <v/>
      </c>
      <c r="J3">
        <f>COUNTIFS(tblReturns[Station],"San Pedro",tblReturns[Outcome],"Dismissed")</f>
        <v/>
      </c>
      <c r="K3">
        <f>COUNTIFS(tblReturns[Station],"San Pedro",tblReturns[Outcome],"Conditional Discharged")</f>
        <v/>
      </c>
      <c r="L3">
        <f>COUNTIFS(tblReturns[Station],"San Pedro",tblReturns[Outcome],"Convicted")</f>
        <v/>
      </c>
      <c r="M3">
        <f>COUNTIFS(tblReturns[Station],"San Pedro",tblReturns[Outcome],"Acquitted")</f>
        <v/>
      </c>
      <c r="N3">
        <f>SUM(F3:M3)</f>
        <v/>
      </c>
    </row>
    <row r="4">
      <c r="A4" s="7" t="inlineStr">
        <is>
          <t>Magistrate:</t>
        </is>
      </c>
      <c r="B4" t="inlineStr">
        <is>
          <t>Ms. T. Brown</t>
        </is>
      </c>
      <c r="E4" s="7" t="inlineStr">
        <is>
          <t>Caye Caulker</t>
        </is>
      </c>
      <c r="F4">
        <f>COUNTIFS(tblReturns[Station],"Caye Caulker",tblReturns[Outcome],"P.I Conducted")</f>
        <v/>
      </c>
      <c r="G4">
        <f>COUNTIFS(tblReturns[Station],"Caye Caulker",tblReturns[Outcome],"Struck Out")</f>
        <v/>
      </c>
      <c r="H4">
        <f>COUNTIFS(tblReturns[Station],"Caye Caulker",tblReturns[Outcome],"Bond Over")</f>
        <v/>
      </c>
      <c r="I4">
        <f>COUNTIFS(tblReturns[Station],"Caye Caulker",tblReturns[Outcome],"Withdrawn")</f>
        <v/>
      </c>
      <c r="J4">
        <f>COUNTIFS(tblReturns[Station],"Caye Caulker",tblReturns[Outcome],"Dismissed")</f>
        <v/>
      </c>
      <c r="K4">
        <f>COUNTIFS(tblReturns[Station],"Caye Caulker",tblReturns[Outcome],"Conditional Discharged")</f>
        <v/>
      </c>
      <c r="L4">
        <f>COUNTIFS(tblReturns[Station],"Caye Caulker",tblReturns[Outcome],"Convicted")</f>
        <v/>
      </c>
      <c r="M4">
        <f>COUNTIFS(tblReturns[Station],"Caye Caulker",tblReturns[Outcome],"Acquitted")</f>
        <v/>
      </c>
      <c r="N4">
        <f>SUM(F4:M4)</f>
        <v/>
      </c>
    </row>
    <row r="5">
      <c r="A5" s="7" t="inlineStr">
        <is>
          <t>Prosecutor</t>
        </is>
      </c>
      <c r="B5" t="inlineStr">
        <is>
          <t>Claude Pitts SGT 920</t>
        </is>
      </c>
      <c r="E5" s="7" t="inlineStr">
        <is>
          <t>TOTAL</t>
        </is>
      </c>
      <c r="F5">
        <f>SUM(F3:F4)</f>
        <v/>
      </c>
      <c r="G5">
        <f>SUM(G3:G4)</f>
        <v/>
      </c>
      <c r="H5">
        <f>SUM(H3:H4)</f>
        <v/>
      </c>
      <c r="I5">
        <f>SUM(I3:I4)</f>
        <v/>
      </c>
      <c r="J5">
        <f>SUM(J3:J4)</f>
        <v/>
      </c>
      <c r="K5">
        <f>SUM(K3:K4)</f>
        <v/>
      </c>
      <c r="L5">
        <f>SUM(L3:L4)</f>
        <v/>
      </c>
      <c r="M5">
        <f>SUM(M3:M4)</f>
        <v/>
      </c>
      <c r="N5">
        <f>SUM(N3:N4)</f>
        <v/>
      </c>
    </row>
    <row r="9" ht="30" customHeight="1">
      <c r="A9" s="1" t="inlineStr">
        <is>
          <t>CourtBookNo</t>
        </is>
      </c>
      <c r="B9" s="1" t="inlineStr">
        <is>
          <t>DateOfOccurence</t>
        </is>
      </c>
      <c r="C9" s="1" t="inlineStr">
        <is>
          <t>ArraignmentDate</t>
        </is>
      </c>
      <c r="D9" s="1" t="inlineStr">
        <is>
          <t>ArrestingOfficer</t>
        </is>
      </c>
      <c r="E9" s="1" t="inlineStr">
        <is>
          <t>Station</t>
        </is>
      </c>
      <c r="F9" s="1" t="inlineStr">
        <is>
          <t>ComplainantVictim</t>
        </is>
      </c>
      <c r="G9" s="1" t="inlineStr">
        <is>
          <t>Defendant</t>
        </is>
      </c>
      <c r="H9" s="1" t="inlineStr">
        <is>
          <t>Sex</t>
        </is>
      </c>
      <c r="I9" s="1" t="inlineStr">
        <is>
          <t>Age</t>
        </is>
      </c>
      <c r="J9" s="1" t="inlineStr">
        <is>
          <t>DOB</t>
        </is>
      </c>
      <c r="K9" s="1" t="inlineStr">
        <is>
          <t>Address</t>
        </is>
      </c>
      <c r="L9" s="1" t="inlineStr">
        <is>
          <t>Charge</t>
        </is>
      </c>
      <c r="M9" s="1" t="inlineStr">
        <is>
          <t>Further Remark</t>
        </is>
      </c>
      <c r="N9" s="1" t="inlineStr">
        <is>
          <t>Outcome</t>
        </is>
      </c>
      <c r="O9" s="1" t="inlineStr">
        <is>
          <t>ConcludedDate</t>
        </is>
      </c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7"/>
  <sheetViews>
    <sheetView workbookViewId="0">
      <selection activeCell="A1" sqref="A1"/>
    </sheetView>
  </sheetViews>
  <sheetFormatPr baseColWidth="8" defaultRowHeight="15"/>
  <cols>
    <col width="70" customWidth="1" min="1" max="1"/>
    <col width="13" customWidth="1" min="2" max="2"/>
    <col width="26" customWidth="1" min="3" max="3"/>
    <col width="45" customWidth="1" min="4" max="4"/>
    <col width="13" customWidth="1" min="5" max="5"/>
    <col width="30" customWidth="1" min="6" max="6"/>
    <col width="28" customWidth="1" min="7" max="7"/>
  </cols>
  <sheetData>
    <row r="1" ht="25" customHeight="1">
      <c r="A1" s="6" t="inlineStr">
        <is>
          <t>CHARGE CLASSIFICATION MAP</t>
        </is>
      </c>
    </row>
    <row r="3">
      <c r="A3" s="4" t="inlineStr">
        <is>
          <t>tblChargeMap is used by Operations and other sheets to classify charges into Annexure categories and statutory types.</t>
        </is>
      </c>
    </row>
    <row r="6" ht="30" customHeight="1">
      <c r="A6" s="14" t="inlineStr">
        <is>
          <t>ChargeName</t>
        </is>
      </c>
      <c r="B6" s="14" t="inlineStr">
        <is>
          <t>PriorityRank</t>
        </is>
      </c>
      <c r="C6" s="14" t="inlineStr">
        <is>
          <t>AnnexureNature</t>
        </is>
      </c>
      <c r="D6" s="14" t="inlineStr">
        <is>
          <t>AnnexureSubCategory</t>
        </is>
      </c>
      <c r="E6" s="14" t="inlineStr">
        <is>
          <t>IsStatutory</t>
        </is>
      </c>
      <c r="F6" s="14" t="inlineStr">
        <is>
          <t>StatutoryNature</t>
        </is>
      </c>
      <c r="G6" s="14" t="inlineStr">
        <is>
          <t>StatOverride</t>
        </is>
      </c>
    </row>
    <row r="7">
      <c r="A7" t="inlineStr">
        <is>
          <t>Aggrated Assault</t>
        </is>
      </c>
      <c r="B7" t="n">
        <v>75</v>
      </c>
      <c r="C7" t="inlineStr">
        <is>
          <t>AGAINST THE PERSON</t>
        </is>
      </c>
      <c r="D7" t="inlineStr">
        <is>
          <t>Aggrated Assault</t>
        </is>
      </c>
      <c r="E7">
        <f>[@StatutoryNature]&lt;&gt;""</f>
        <v/>
      </c>
      <c r="F7" t="inlineStr"/>
      <c r="G7" t="inlineStr"/>
    </row>
    <row r="8">
      <c r="A8" t="inlineStr">
        <is>
          <t>Aggravated Assault</t>
        </is>
      </c>
      <c r="B8" t="n">
        <v>75</v>
      </c>
      <c r="C8" t="inlineStr">
        <is>
          <t>AGAINST THE PERSON</t>
        </is>
      </c>
      <c r="D8" t="inlineStr">
        <is>
          <t>Aggravated Assault</t>
        </is>
      </c>
      <c r="E8">
        <f>[@StatutoryNature]&lt;&gt;""</f>
        <v/>
      </c>
      <c r="F8" t="inlineStr"/>
      <c r="G8" t="inlineStr"/>
    </row>
    <row r="9">
      <c r="A9" t="inlineStr">
        <is>
          <t>Asault a Police Officer</t>
        </is>
      </c>
      <c r="B9" t="n">
        <v>50</v>
      </c>
      <c r="C9" t="inlineStr">
        <is>
          <t>AGAINST THE PERSON</t>
        </is>
      </c>
      <c r="D9" t="inlineStr">
        <is>
          <t>Aggravated Assault</t>
        </is>
      </c>
      <c r="E9">
        <f>[@StatutoryNature]&lt;&gt;""</f>
        <v/>
      </c>
      <c r="F9" t="inlineStr"/>
      <c r="G9" t="inlineStr"/>
    </row>
    <row r="10">
      <c r="A10" t="inlineStr">
        <is>
          <t>Assault of A Child Under the age of 16 by Penetration</t>
        </is>
      </c>
      <c r="B10" t="n">
        <v>90</v>
      </c>
      <c r="C10" t="inlineStr">
        <is>
          <t>AGAINST PUBLIC MORALITY</t>
        </is>
      </c>
      <c r="D10" t="inlineStr">
        <is>
          <t>Sexual Assault</t>
        </is>
      </c>
      <c r="E10">
        <f>[@StatutoryNature]&lt;&gt;""</f>
        <v/>
      </c>
      <c r="F10" t="inlineStr"/>
      <c r="G10" t="inlineStr"/>
    </row>
    <row r="11">
      <c r="A11" t="inlineStr">
        <is>
          <t>Assaulting A Police Officer</t>
        </is>
      </c>
      <c r="B11" t="n">
        <v>60</v>
      </c>
      <c r="C11" t="inlineStr">
        <is>
          <t>AGAINST LAWFUL AUTHORITY</t>
        </is>
      </c>
      <c r="D11" t="inlineStr">
        <is>
          <t>Other</t>
        </is>
      </c>
      <c r="E11">
        <f>[@StatutoryNature]&lt;&gt;""</f>
        <v/>
      </c>
      <c r="F11" t="inlineStr">
        <is>
          <t>Against Police Act</t>
        </is>
      </c>
      <c r="G11" t="inlineStr"/>
    </row>
    <row r="12">
      <c r="A12" t="inlineStr">
        <is>
          <t>Attempt Murder</t>
        </is>
      </c>
      <c r="B12" t="n">
        <v>98</v>
      </c>
      <c r="C12" t="inlineStr">
        <is>
          <t>AGAINST THE PERSON</t>
        </is>
      </c>
      <c r="D12" t="inlineStr">
        <is>
          <t>Attempted Murder</t>
        </is>
      </c>
      <c r="E12">
        <f>[@StatutoryNature]&lt;&gt;""</f>
        <v/>
      </c>
      <c r="F12" t="inlineStr"/>
      <c r="G12" t="inlineStr"/>
    </row>
    <row r="13">
      <c r="A13" t="inlineStr">
        <is>
          <t>Attempt Robbery</t>
        </is>
      </c>
      <c r="B13" t="n">
        <v>85</v>
      </c>
      <c r="C13" t="inlineStr">
        <is>
          <t>AGAINST THE PERSON</t>
        </is>
      </c>
      <c r="D13" t="inlineStr">
        <is>
          <t>Other</t>
        </is>
      </c>
      <c r="E13">
        <f>[@StatutoryNature]&lt;&gt;""</f>
        <v/>
      </c>
      <c r="F13" t="inlineStr"/>
      <c r="G13" t="inlineStr"/>
    </row>
    <row r="14">
      <c r="A14" t="inlineStr">
        <is>
          <t>Being Member of A Gang</t>
        </is>
      </c>
      <c r="B14" t="n">
        <v>85</v>
      </c>
      <c r="C14" t="inlineStr">
        <is>
          <t>OTHERS</t>
        </is>
      </c>
      <c r="D14" t="inlineStr">
        <is>
          <t>Other</t>
        </is>
      </c>
      <c r="E14">
        <f>[@StatutoryNature]&lt;&gt;""</f>
        <v/>
      </c>
      <c r="F14" t="inlineStr"/>
      <c r="G14" t="inlineStr"/>
    </row>
    <row r="15">
      <c r="A15" t="inlineStr">
        <is>
          <t>Being the Member of a Gang</t>
        </is>
      </c>
      <c r="B15" t="n">
        <v>85</v>
      </c>
      <c r="C15" t="inlineStr">
        <is>
          <t>OTHERS</t>
        </is>
      </c>
      <c r="D15" t="inlineStr">
        <is>
          <t>Other</t>
        </is>
      </c>
      <c r="E15">
        <f>[@StatutoryNature]&lt;&gt;""</f>
        <v/>
      </c>
      <c r="F15" t="inlineStr"/>
      <c r="G15" t="inlineStr"/>
    </row>
    <row r="16">
      <c r="A16" t="inlineStr">
        <is>
          <t>Breach of Court Order</t>
        </is>
      </c>
      <c r="B16" t="n">
        <v>50</v>
      </c>
      <c r="C16" t="inlineStr">
        <is>
          <t>AGAINST THE PERSON</t>
        </is>
      </c>
      <c r="D16" t="inlineStr">
        <is>
          <t>Other</t>
        </is>
      </c>
      <c r="E16">
        <f>[@StatutoryNature]&lt;&gt;""</f>
        <v/>
      </c>
      <c r="F16" t="inlineStr"/>
      <c r="G16" t="inlineStr"/>
    </row>
    <row r="17">
      <c r="A17" t="inlineStr">
        <is>
          <t>Breach of Protection Order</t>
        </is>
      </c>
      <c r="B17" t="n">
        <v>50</v>
      </c>
      <c r="C17" t="inlineStr">
        <is>
          <t>AGAINST THE PERSON</t>
        </is>
      </c>
      <c r="D17" t="inlineStr">
        <is>
          <t>Other</t>
        </is>
      </c>
      <c r="E17">
        <f>[@StatutoryNature]&lt;&gt;""</f>
        <v/>
      </c>
      <c r="F17" t="inlineStr"/>
      <c r="G17" t="inlineStr"/>
    </row>
    <row r="18">
      <c r="A18" t="inlineStr">
        <is>
          <t>Burglary</t>
        </is>
      </c>
      <c r="B18" t="n">
        <v>72</v>
      </c>
      <c r="C18" t="inlineStr">
        <is>
          <t>AGAINST PROPERTY</t>
        </is>
      </c>
      <c r="D18" t="inlineStr">
        <is>
          <t>Burglary</t>
        </is>
      </c>
      <c r="E18">
        <f>[@StatutoryNature]&lt;&gt;""</f>
        <v/>
      </c>
      <c r="F18" t="inlineStr"/>
      <c r="G18" t="inlineStr"/>
    </row>
    <row r="19">
      <c r="A19" t="inlineStr">
        <is>
          <t>Burglary Escaping Lawful Custody</t>
        </is>
      </c>
      <c r="B19" t="n">
        <v>72</v>
      </c>
      <c r="C19" t="inlineStr">
        <is>
          <t>AGAINST PROPERTY</t>
        </is>
      </c>
      <c r="D19" t="inlineStr">
        <is>
          <t>Burglary</t>
        </is>
      </c>
      <c r="E19">
        <f>[@StatutoryNature]&lt;&gt;""</f>
        <v/>
      </c>
      <c r="F19" t="inlineStr"/>
      <c r="G19" t="inlineStr"/>
    </row>
    <row r="20">
      <c r="A20" t="inlineStr">
        <is>
          <t>Causing Deaath By Careless Conduct</t>
        </is>
      </c>
      <c r="B20" t="n">
        <v>50</v>
      </c>
      <c r="C20" t="inlineStr">
        <is>
          <t>AGAINST THE PERSON</t>
        </is>
      </c>
      <c r="D20" t="inlineStr">
        <is>
          <t>Manslaughter</t>
        </is>
      </c>
      <c r="E20">
        <f>[@StatutoryNature]&lt;&gt;""</f>
        <v/>
      </c>
      <c r="F20" t="inlineStr"/>
      <c r="G20" t="inlineStr"/>
    </row>
    <row r="21">
      <c r="A21" t="inlineStr">
        <is>
          <t>Child Neglect</t>
        </is>
      </c>
      <c r="B21" t="n">
        <v>50</v>
      </c>
      <c r="C21" t="inlineStr">
        <is>
          <t>AGAINST PUBLIC MORALITY</t>
        </is>
      </c>
      <c r="D21" t="inlineStr">
        <is>
          <t>Other</t>
        </is>
      </c>
      <c r="E21">
        <f>[@StatutoryNature]&lt;&gt;""</f>
        <v/>
      </c>
      <c r="F21" t="inlineStr"/>
      <c r="G21" t="inlineStr"/>
    </row>
    <row r="22">
      <c r="A22" t="inlineStr">
        <is>
          <t>Common Assault</t>
        </is>
      </c>
      <c r="B22" t="n">
        <v>60</v>
      </c>
      <c r="C22" t="inlineStr">
        <is>
          <t>AGAINST THE PERSON</t>
        </is>
      </c>
      <c r="D22" t="inlineStr">
        <is>
          <t>Common Assault</t>
        </is>
      </c>
      <c r="E22">
        <f>[@StatutoryNature]&lt;&gt;""</f>
        <v/>
      </c>
      <c r="F22" t="inlineStr"/>
      <c r="G22" t="inlineStr"/>
    </row>
    <row r="23">
      <c r="A23" t="inlineStr">
        <is>
          <t>Comtempt of Judicial Order (7 counts)</t>
        </is>
      </c>
      <c r="B23" t="n">
        <v>50</v>
      </c>
      <c r="C23" t="inlineStr">
        <is>
          <t>AGAINST LAWFUL AUTHORITY</t>
        </is>
      </c>
      <c r="D23" t="inlineStr">
        <is>
          <t>Other</t>
        </is>
      </c>
      <c r="E23">
        <f>[@StatutoryNature]&lt;&gt;""</f>
        <v/>
      </c>
      <c r="F23" t="inlineStr"/>
      <c r="G23" t="inlineStr"/>
    </row>
    <row r="24">
      <c r="A24" t="inlineStr">
        <is>
          <t>Damage to Property</t>
        </is>
      </c>
      <c r="B24" t="n">
        <v>55</v>
      </c>
      <c r="C24" t="inlineStr">
        <is>
          <t>AGAINST PROPERTY</t>
        </is>
      </c>
      <c r="D24" t="inlineStr">
        <is>
          <t>Damage to Property</t>
        </is>
      </c>
      <c r="E24">
        <f>[@StatutoryNature]&lt;&gt;""</f>
        <v/>
      </c>
      <c r="F24" t="inlineStr"/>
      <c r="G24" t="inlineStr"/>
    </row>
    <row r="25">
      <c r="A25" t="inlineStr">
        <is>
          <t>Dangerous Harm</t>
        </is>
      </c>
      <c r="B25" t="n">
        <v>75</v>
      </c>
      <c r="C25" t="inlineStr">
        <is>
          <t>AGAINST THE PERSON</t>
        </is>
      </c>
      <c r="D25" t="inlineStr">
        <is>
          <t>Grievous Harm</t>
        </is>
      </c>
      <c r="E25">
        <f>[@StatutoryNature]&lt;&gt;""</f>
        <v/>
      </c>
      <c r="F25" t="inlineStr"/>
      <c r="G25" t="inlineStr"/>
    </row>
    <row r="26">
      <c r="A26" t="inlineStr">
        <is>
          <t>Discharging Firearm in Public</t>
        </is>
      </c>
      <c r="B26" t="n">
        <v>98</v>
      </c>
      <c r="C26" t="inlineStr">
        <is>
          <t>OTHERS</t>
        </is>
      </c>
      <c r="D26" t="inlineStr">
        <is>
          <t>Other</t>
        </is>
      </c>
      <c r="E26">
        <f>[@StatutoryNature]&lt;&gt;""</f>
        <v/>
      </c>
      <c r="F26" t="inlineStr">
        <is>
          <t>Against Firearms Act</t>
        </is>
      </c>
      <c r="G26" t="inlineStr"/>
    </row>
    <row r="27">
      <c r="A27" t="inlineStr">
        <is>
          <t>Disorderly Conduct</t>
        </is>
      </c>
      <c r="B27" t="n">
        <v>45</v>
      </c>
      <c r="C27" t="inlineStr">
        <is>
          <t>OTHERS</t>
        </is>
      </c>
      <c r="D27" t="inlineStr">
        <is>
          <t>Other</t>
        </is>
      </c>
      <c r="E27">
        <f>[@StatutoryNature]&lt;&gt;""</f>
        <v/>
      </c>
      <c r="F27" t="inlineStr"/>
      <c r="G27" t="inlineStr"/>
    </row>
    <row r="28">
      <c r="A28" t="inlineStr">
        <is>
          <t>Driving Whilst Unfit</t>
        </is>
      </c>
      <c r="B28" t="n">
        <v>65</v>
      </c>
      <c r="C28" t="inlineStr">
        <is>
          <t>OTHERS</t>
        </is>
      </c>
      <c r="D28" t="inlineStr">
        <is>
          <t>Other</t>
        </is>
      </c>
      <c r="E28">
        <f>[@StatutoryNature]&lt;&gt;""</f>
        <v/>
      </c>
      <c r="F28" t="inlineStr">
        <is>
          <t>Other Offences</t>
        </is>
      </c>
      <c r="G28" t="inlineStr"/>
    </row>
    <row r="29">
      <c r="A29" t="inlineStr">
        <is>
          <t>Drove Motor Vehicle not covered by third party risk insurance</t>
        </is>
      </c>
      <c r="B29" t="n">
        <v>65</v>
      </c>
      <c r="C29" t="inlineStr">
        <is>
          <t>OTHERS</t>
        </is>
      </c>
      <c r="D29" t="inlineStr">
        <is>
          <t>Other</t>
        </is>
      </c>
      <c r="E29">
        <f>[@StatutoryNature]&lt;&gt;""</f>
        <v/>
      </c>
      <c r="F29" t="inlineStr">
        <is>
          <t>Other Offences</t>
        </is>
      </c>
      <c r="G29" t="inlineStr"/>
    </row>
    <row r="30">
      <c r="A30" t="inlineStr">
        <is>
          <t>Drove Motor Vehicle Whilst Being Disqualified From Holding or Obtaining a Belize Driver's License</t>
        </is>
      </c>
      <c r="B30" t="n">
        <v>65</v>
      </c>
      <c r="C30" t="inlineStr">
        <is>
          <t>OTHERS</t>
        </is>
      </c>
      <c r="D30" t="inlineStr">
        <is>
          <t>Other</t>
        </is>
      </c>
      <c r="E30">
        <f>[@StatutoryNature]&lt;&gt;""</f>
        <v/>
      </c>
      <c r="F30" t="inlineStr">
        <is>
          <t>Other Offences</t>
        </is>
      </c>
      <c r="G30" t="inlineStr"/>
    </row>
    <row r="31">
      <c r="A31" t="inlineStr">
        <is>
          <t>Drove Motor Vehicle whilst not Being Covered by Third Party Risk Insurance</t>
        </is>
      </c>
      <c r="B31" t="n">
        <v>65</v>
      </c>
      <c r="C31" t="inlineStr">
        <is>
          <t>OTHERS</t>
        </is>
      </c>
      <c r="D31" t="inlineStr">
        <is>
          <t>Other</t>
        </is>
      </c>
      <c r="E31">
        <f>[@StatutoryNature]&lt;&gt;""</f>
        <v/>
      </c>
      <c r="F31" t="inlineStr">
        <is>
          <t>Other Offences</t>
        </is>
      </c>
      <c r="G31" t="inlineStr"/>
    </row>
    <row r="32">
      <c r="A32" t="inlineStr">
        <is>
          <t>Drove Motor Vehicle Wihtout a Valid License</t>
        </is>
      </c>
      <c r="B32" t="n">
        <v>65</v>
      </c>
      <c r="C32" t="inlineStr">
        <is>
          <t>OTHERS</t>
        </is>
      </c>
      <c r="D32" t="inlineStr">
        <is>
          <t>Other</t>
        </is>
      </c>
      <c r="E32">
        <f>[@StatutoryNature]&lt;&gt;""</f>
        <v/>
      </c>
      <c r="F32" t="inlineStr">
        <is>
          <t>Other Offences</t>
        </is>
      </c>
      <c r="G32" t="inlineStr"/>
    </row>
    <row r="33">
      <c r="A33" t="inlineStr">
        <is>
          <t>Drove Motor Vehicle Wihtuot Due Care and Attention</t>
        </is>
      </c>
      <c r="B33" t="n">
        <v>65</v>
      </c>
      <c r="C33" t="inlineStr">
        <is>
          <t>AGAINST THE PERSON</t>
        </is>
      </c>
      <c r="D33" t="inlineStr">
        <is>
          <t>Manslaughter</t>
        </is>
      </c>
      <c r="E33">
        <f>[@StatutoryNature]&lt;&gt;""</f>
        <v/>
      </c>
      <c r="F33" t="inlineStr">
        <is>
          <t>Other Offences</t>
        </is>
      </c>
      <c r="G33" t="inlineStr"/>
    </row>
    <row r="34">
      <c r="A34" t="inlineStr">
        <is>
          <t>Drove Motor Vehicle Without a Belize Driver's License</t>
        </is>
      </c>
      <c r="B34" t="n">
        <v>65</v>
      </c>
      <c r="C34" t="inlineStr">
        <is>
          <t>OTHERS</t>
        </is>
      </c>
      <c r="D34" t="inlineStr">
        <is>
          <t>Other</t>
        </is>
      </c>
      <c r="E34">
        <f>[@StatutoryNature]&lt;&gt;""</f>
        <v/>
      </c>
      <c r="F34" t="inlineStr">
        <is>
          <t>Other Offences</t>
        </is>
      </c>
      <c r="G34" t="inlineStr"/>
    </row>
    <row r="35">
      <c r="A35" t="inlineStr">
        <is>
          <t>DroveMotor Vehicle without a valid driver's license</t>
        </is>
      </c>
      <c r="B35" t="n">
        <v>65</v>
      </c>
      <c r="C35" t="inlineStr">
        <is>
          <t>OTHERS</t>
        </is>
      </c>
      <c r="D35" t="inlineStr">
        <is>
          <t>Other</t>
        </is>
      </c>
      <c r="E35">
        <f>[@StatutoryNature]&lt;&gt;""</f>
        <v/>
      </c>
      <c r="F35" t="inlineStr">
        <is>
          <t>Other Offences</t>
        </is>
      </c>
      <c r="G35" t="inlineStr"/>
    </row>
    <row r="36">
      <c r="A36" t="inlineStr">
        <is>
          <t>Drove Motor Vehicle without a Protective Helmet.</t>
        </is>
      </c>
      <c r="B36" t="n">
        <v>65</v>
      </c>
      <c r="C36" t="inlineStr">
        <is>
          <t>OTHERS</t>
        </is>
      </c>
      <c r="D36" t="inlineStr">
        <is>
          <t>Other</t>
        </is>
      </c>
      <c r="E36">
        <f>[@StatutoryNature]&lt;&gt;""</f>
        <v/>
      </c>
      <c r="F36" t="inlineStr">
        <is>
          <t>Other Offences</t>
        </is>
      </c>
      <c r="G36" t="inlineStr"/>
    </row>
    <row r="37">
      <c r="A37" t="inlineStr">
        <is>
          <t>Drove Motor Vehicle Without a Valid Driver's License</t>
        </is>
      </c>
      <c r="B37" t="n">
        <v>65</v>
      </c>
      <c r="C37" t="inlineStr">
        <is>
          <t>OTHERS</t>
        </is>
      </c>
      <c r="D37" t="inlineStr">
        <is>
          <t>Other</t>
        </is>
      </c>
      <c r="E37">
        <f>[@StatutoryNature]&lt;&gt;""</f>
        <v/>
      </c>
      <c r="F37" t="inlineStr">
        <is>
          <t>Other Offences</t>
        </is>
      </c>
      <c r="G37" t="inlineStr"/>
    </row>
    <row r="38">
      <c r="A38" t="inlineStr">
        <is>
          <t>Drove Motor vehicle Without a Valid Driver's License</t>
        </is>
      </c>
      <c r="B38" t="n">
        <v>65</v>
      </c>
      <c r="C38" t="inlineStr">
        <is>
          <t>OTHERS</t>
        </is>
      </c>
      <c r="D38" t="inlineStr">
        <is>
          <t>Other</t>
        </is>
      </c>
      <c r="E38">
        <f>[@StatutoryNature]&lt;&gt;""</f>
        <v/>
      </c>
      <c r="F38" t="inlineStr">
        <is>
          <t>Other Offences</t>
        </is>
      </c>
      <c r="G38" t="inlineStr"/>
    </row>
    <row r="39">
      <c r="A39" t="inlineStr">
        <is>
          <t>Drove motor vehicle without a valid driver's license</t>
        </is>
      </c>
      <c r="B39" t="n">
        <v>65</v>
      </c>
      <c r="C39" t="inlineStr">
        <is>
          <t>OTHERS</t>
        </is>
      </c>
      <c r="D39" t="inlineStr">
        <is>
          <t>Other</t>
        </is>
      </c>
      <c r="E39">
        <f>[@StatutoryNature]&lt;&gt;""</f>
        <v/>
      </c>
      <c r="F39" t="inlineStr">
        <is>
          <t>Other Offences</t>
        </is>
      </c>
      <c r="G39" t="inlineStr"/>
    </row>
    <row r="40">
      <c r="A40" t="inlineStr">
        <is>
          <t>Drove Motor Vehicle Without a Valid Driving License</t>
        </is>
      </c>
      <c r="B40" t="n">
        <v>65</v>
      </c>
      <c r="C40" t="inlineStr">
        <is>
          <t>OTHERS</t>
        </is>
      </c>
      <c r="D40" t="inlineStr">
        <is>
          <t>Other</t>
        </is>
      </c>
      <c r="E40">
        <f>[@StatutoryNature]&lt;&gt;""</f>
        <v/>
      </c>
      <c r="F40" t="inlineStr">
        <is>
          <t>Other Offences</t>
        </is>
      </c>
      <c r="G40" t="inlineStr"/>
    </row>
    <row r="41">
      <c r="A41" t="inlineStr">
        <is>
          <t>Drove Motor Vehicle Without a Valid License</t>
        </is>
      </c>
      <c r="B41" t="n">
        <v>65</v>
      </c>
      <c r="C41" t="inlineStr">
        <is>
          <t>OTHERS</t>
        </is>
      </c>
      <c r="D41" t="inlineStr">
        <is>
          <t>Other</t>
        </is>
      </c>
      <c r="E41">
        <f>[@StatutoryNature]&lt;&gt;""</f>
        <v/>
      </c>
      <c r="F41" t="inlineStr">
        <is>
          <t>Other Offences</t>
        </is>
      </c>
      <c r="G41" t="inlineStr"/>
    </row>
    <row r="42">
      <c r="A42" t="inlineStr">
        <is>
          <t>Drove Motor Vehicle without a valid License</t>
        </is>
      </c>
      <c r="B42" t="n">
        <v>65</v>
      </c>
      <c r="C42" t="inlineStr">
        <is>
          <t>OTHERS</t>
        </is>
      </c>
      <c r="D42" t="inlineStr">
        <is>
          <t>Other</t>
        </is>
      </c>
      <c r="E42">
        <f>[@StatutoryNature]&lt;&gt;""</f>
        <v/>
      </c>
      <c r="F42" t="inlineStr">
        <is>
          <t>Other Offences</t>
        </is>
      </c>
      <c r="G42" t="inlineStr"/>
    </row>
    <row r="43">
      <c r="A43" t="inlineStr">
        <is>
          <t>Drove Motor vehicle without a Valid License</t>
        </is>
      </c>
      <c r="B43" t="n">
        <v>65</v>
      </c>
      <c r="C43" t="inlineStr">
        <is>
          <t>OTHERS</t>
        </is>
      </c>
      <c r="D43" t="inlineStr">
        <is>
          <t>Other</t>
        </is>
      </c>
      <c r="E43">
        <f>[@StatutoryNature]&lt;&gt;""</f>
        <v/>
      </c>
      <c r="F43" t="inlineStr">
        <is>
          <t>Other Offences</t>
        </is>
      </c>
      <c r="G43" t="inlineStr"/>
    </row>
    <row r="44">
      <c r="A44" t="inlineStr">
        <is>
          <t>Drove Motor Vehicle Without a Valid License in Respect to Class</t>
        </is>
      </c>
      <c r="B44" t="n">
        <v>65</v>
      </c>
      <c r="C44" t="inlineStr">
        <is>
          <t>OTHERS</t>
        </is>
      </c>
      <c r="D44" t="inlineStr">
        <is>
          <t>Other</t>
        </is>
      </c>
      <c r="E44">
        <f>[@StatutoryNature]&lt;&gt;""</f>
        <v/>
      </c>
      <c r="F44" t="inlineStr">
        <is>
          <t>Other Offences</t>
        </is>
      </c>
      <c r="G44" t="inlineStr"/>
    </row>
    <row r="45">
      <c r="A45" t="inlineStr">
        <is>
          <t>Drove Motor Vehicle Without a Valid Without A Valid Driver's License</t>
        </is>
      </c>
      <c r="B45" t="n">
        <v>65</v>
      </c>
      <c r="C45" t="inlineStr">
        <is>
          <t>OTHERS</t>
        </is>
      </c>
      <c r="D45" t="inlineStr">
        <is>
          <t>Other</t>
        </is>
      </c>
      <c r="E45">
        <f>[@StatutoryNature]&lt;&gt;""</f>
        <v/>
      </c>
      <c r="F45" t="inlineStr">
        <is>
          <t>Other Offences</t>
        </is>
      </c>
      <c r="G45" t="inlineStr"/>
    </row>
    <row r="46">
      <c r="A46" t="inlineStr">
        <is>
          <t>Drove Motor Vehicle Without being the holder of a Valid Driver's License</t>
        </is>
      </c>
      <c r="B46" t="n">
        <v>65</v>
      </c>
      <c r="C46" t="inlineStr">
        <is>
          <t>OTHERS</t>
        </is>
      </c>
      <c r="D46" t="inlineStr">
        <is>
          <t>Other</t>
        </is>
      </c>
      <c r="E46">
        <f>[@StatutoryNature]&lt;&gt;""</f>
        <v/>
      </c>
      <c r="F46" t="inlineStr">
        <is>
          <t>Other Offences</t>
        </is>
      </c>
      <c r="G46" t="inlineStr"/>
    </row>
    <row r="47">
      <c r="A47" t="inlineStr">
        <is>
          <t>Drove motor vehicle without being the holder of a Valid Driver's License</t>
        </is>
      </c>
      <c r="B47" t="n">
        <v>65</v>
      </c>
      <c r="C47" t="inlineStr">
        <is>
          <t>OTHERS</t>
        </is>
      </c>
      <c r="D47" t="inlineStr">
        <is>
          <t>Other</t>
        </is>
      </c>
      <c r="E47">
        <f>[@StatutoryNature]&lt;&gt;""</f>
        <v/>
      </c>
      <c r="F47" t="inlineStr">
        <is>
          <t>Other Offences</t>
        </is>
      </c>
      <c r="G47" t="inlineStr"/>
    </row>
    <row r="48">
      <c r="A48" t="inlineStr">
        <is>
          <t>Drove Motor Vehicle Without Due Care and Attention</t>
        </is>
      </c>
      <c r="B48" t="n">
        <v>65</v>
      </c>
      <c r="C48" t="inlineStr">
        <is>
          <t>OTHERS</t>
        </is>
      </c>
      <c r="D48" t="inlineStr">
        <is>
          <t>Other</t>
        </is>
      </c>
      <c r="E48">
        <f>[@StatutoryNature]&lt;&gt;""</f>
        <v/>
      </c>
      <c r="F48" t="inlineStr">
        <is>
          <t>Other Offences</t>
        </is>
      </c>
      <c r="G48" t="inlineStr"/>
    </row>
    <row r="49">
      <c r="A49" t="inlineStr">
        <is>
          <t>Drove Motor Vehicle without due care and attention</t>
        </is>
      </c>
      <c r="B49" t="n">
        <v>65</v>
      </c>
      <c r="C49" t="inlineStr">
        <is>
          <t>OTHERS</t>
        </is>
      </c>
      <c r="D49" t="inlineStr">
        <is>
          <t>Other</t>
        </is>
      </c>
      <c r="E49">
        <f>[@StatutoryNature]&lt;&gt;""</f>
        <v/>
      </c>
      <c r="F49" t="inlineStr">
        <is>
          <t>Other Offences</t>
        </is>
      </c>
      <c r="G49" t="inlineStr"/>
    </row>
    <row r="50">
      <c r="A50" t="inlineStr">
        <is>
          <t>Drove Unlicensed Motor Vehicle</t>
        </is>
      </c>
      <c r="B50" t="n">
        <v>65</v>
      </c>
      <c r="C50" t="inlineStr">
        <is>
          <t>OTHERS</t>
        </is>
      </c>
      <c r="D50" t="inlineStr">
        <is>
          <t>Other</t>
        </is>
      </c>
      <c r="E50">
        <f>[@StatutoryNature]&lt;&gt;""</f>
        <v/>
      </c>
      <c r="F50" t="inlineStr">
        <is>
          <t>Other Offences</t>
        </is>
      </c>
      <c r="G50" t="inlineStr"/>
    </row>
    <row r="51">
      <c r="A51" t="inlineStr">
        <is>
          <t>Engaging in Sexual Activity in the Presence of a Child</t>
        </is>
      </c>
      <c r="B51" t="n">
        <v>50</v>
      </c>
      <c r="C51" t="inlineStr">
        <is>
          <t>AGAINST PUBLIC MORALITY</t>
        </is>
      </c>
      <c r="D51" t="inlineStr">
        <is>
          <t>Other</t>
        </is>
      </c>
      <c r="E51">
        <f>[@StatutoryNature]&lt;&gt;""</f>
        <v/>
      </c>
      <c r="F51" t="inlineStr"/>
      <c r="G51" t="inlineStr"/>
    </row>
    <row r="52">
      <c r="A52" t="inlineStr">
        <is>
          <t>Escape From Lawful Custody</t>
        </is>
      </c>
      <c r="B52" t="n">
        <v>50</v>
      </c>
      <c r="C52" t="inlineStr">
        <is>
          <t>AGAINST LAWFUL AUTHORITY</t>
        </is>
      </c>
      <c r="D52" t="inlineStr">
        <is>
          <t>Escape</t>
        </is>
      </c>
      <c r="E52">
        <f>[@StatutoryNature]&lt;&gt;""</f>
        <v/>
      </c>
      <c r="F52" t="inlineStr"/>
      <c r="G52" t="inlineStr"/>
    </row>
    <row r="53">
      <c r="A53" t="inlineStr">
        <is>
          <t>Escaping Lawful Custody</t>
        </is>
      </c>
      <c r="B53" t="n">
        <v>50</v>
      </c>
      <c r="C53" t="inlineStr">
        <is>
          <t>OTHERS</t>
        </is>
      </c>
      <c r="D53" t="inlineStr">
        <is>
          <t>Other</t>
        </is>
      </c>
      <c r="E53">
        <f>[@StatutoryNature]&lt;&gt;""</f>
        <v/>
      </c>
      <c r="F53" t="inlineStr"/>
      <c r="G53" t="inlineStr"/>
    </row>
    <row r="54">
      <c r="A54" t="inlineStr">
        <is>
          <t>Exposing Person in Public</t>
        </is>
      </c>
      <c r="B54" t="n">
        <v>45</v>
      </c>
      <c r="C54" t="inlineStr">
        <is>
          <t>OTHERS</t>
        </is>
      </c>
      <c r="D54" t="inlineStr">
        <is>
          <t>Other</t>
        </is>
      </c>
      <c r="E54">
        <f>[@StatutoryNature]&lt;&gt;""</f>
        <v/>
      </c>
      <c r="F54" t="inlineStr"/>
      <c r="G54" t="inlineStr"/>
    </row>
    <row r="55">
      <c r="A55" t="inlineStr">
        <is>
          <t>Exposing Person in Public (2x)</t>
        </is>
      </c>
      <c r="B55" t="n">
        <v>45</v>
      </c>
      <c r="C55" t="inlineStr">
        <is>
          <t>OTHERS</t>
        </is>
      </c>
      <c r="D55" t="inlineStr">
        <is>
          <t>Other</t>
        </is>
      </c>
      <c r="E55">
        <f>[@StatutoryNature]&lt;&gt;""</f>
        <v/>
      </c>
      <c r="F55" t="inlineStr"/>
      <c r="G55" t="inlineStr"/>
    </row>
    <row r="56">
      <c r="A56" t="inlineStr">
        <is>
          <t>Fail to give way when changing</t>
        </is>
      </c>
      <c r="B56" t="n">
        <v>65</v>
      </c>
      <c r="C56" t="inlineStr">
        <is>
          <t>OTHERS</t>
        </is>
      </c>
      <c r="D56" t="inlineStr">
        <is>
          <t>Other</t>
        </is>
      </c>
      <c r="E56">
        <f>[@StatutoryNature]&lt;&gt;""</f>
        <v/>
      </c>
      <c r="F56" t="inlineStr">
        <is>
          <t>Other Offences</t>
        </is>
      </c>
      <c r="G56" t="inlineStr"/>
    </row>
    <row r="57">
      <c r="A57" t="inlineStr">
        <is>
          <t>Fail to Provide Specimen</t>
        </is>
      </c>
      <c r="B57" t="n">
        <v>65</v>
      </c>
      <c r="C57" t="inlineStr">
        <is>
          <t>OTHERS</t>
        </is>
      </c>
      <c r="D57" t="inlineStr">
        <is>
          <t>Other</t>
        </is>
      </c>
      <c r="E57">
        <f>[@StatutoryNature]&lt;&gt;""</f>
        <v/>
      </c>
      <c r="F57" t="inlineStr">
        <is>
          <t>Other Offences</t>
        </is>
      </c>
      <c r="G57" t="inlineStr"/>
    </row>
    <row r="58">
      <c r="A58" t="inlineStr">
        <is>
          <t>Fail to provide Specimen</t>
        </is>
      </c>
      <c r="B58" t="n">
        <v>65</v>
      </c>
      <c r="C58" t="inlineStr">
        <is>
          <t>OTHERS</t>
        </is>
      </c>
      <c r="D58" t="inlineStr">
        <is>
          <t>Other</t>
        </is>
      </c>
      <c r="E58">
        <f>[@StatutoryNature]&lt;&gt;""</f>
        <v/>
      </c>
      <c r="F58" t="inlineStr">
        <is>
          <t>Other Offences</t>
        </is>
      </c>
      <c r="G58" t="inlineStr"/>
    </row>
    <row r="59">
      <c r="A59" t="inlineStr">
        <is>
          <t>Failded to display Insurance Disk</t>
        </is>
      </c>
      <c r="B59" t="n">
        <v>65</v>
      </c>
      <c r="C59" t="inlineStr">
        <is>
          <t>OTHERS</t>
        </is>
      </c>
      <c r="D59" t="inlineStr">
        <is>
          <t>Other</t>
        </is>
      </c>
      <c r="E59">
        <f>[@StatutoryNature]&lt;&gt;""</f>
        <v/>
      </c>
      <c r="F59" t="inlineStr">
        <is>
          <t>Other Offences</t>
        </is>
      </c>
      <c r="G59" t="inlineStr"/>
    </row>
    <row r="60">
      <c r="A60" t="inlineStr">
        <is>
          <t>Failed to Provide Specimen</t>
        </is>
      </c>
      <c r="B60" t="n">
        <v>65</v>
      </c>
      <c r="C60" t="inlineStr">
        <is>
          <t>OTHERS</t>
        </is>
      </c>
      <c r="D60" t="inlineStr">
        <is>
          <t>Other</t>
        </is>
      </c>
      <c r="E60">
        <f>[@StatutoryNature]&lt;&gt;""</f>
        <v/>
      </c>
      <c r="F60" t="inlineStr">
        <is>
          <t>Other Offences</t>
        </is>
      </c>
      <c r="G60" t="inlineStr"/>
    </row>
    <row r="61">
      <c r="A61" t="inlineStr">
        <is>
          <t>Failed to Signal When Changing Direction</t>
        </is>
      </c>
      <c r="B61" t="n">
        <v>65</v>
      </c>
      <c r="C61" t="inlineStr">
        <is>
          <t>OTHERS</t>
        </is>
      </c>
      <c r="D61" t="inlineStr">
        <is>
          <t>Other</t>
        </is>
      </c>
      <c r="E61">
        <f>[@StatutoryNature]&lt;&gt;""</f>
        <v/>
      </c>
      <c r="F61" t="inlineStr">
        <is>
          <t>Other Offences</t>
        </is>
      </c>
      <c r="G61" t="inlineStr"/>
    </row>
    <row r="62">
      <c r="A62" t="inlineStr">
        <is>
          <t>Failed to Signal when changing direction</t>
        </is>
      </c>
      <c r="B62" t="n">
        <v>65</v>
      </c>
      <c r="C62" t="inlineStr">
        <is>
          <t>OTHERS</t>
        </is>
      </c>
      <c r="D62" t="inlineStr">
        <is>
          <t>Other</t>
        </is>
      </c>
      <c r="E62">
        <f>[@StatutoryNature]&lt;&gt;""</f>
        <v/>
      </c>
      <c r="F62" t="inlineStr">
        <is>
          <t>Other Offences</t>
        </is>
      </c>
      <c r="G62" t="inlineStr"/>
    </row>
    <row r="63">
      <c r="A63" t="inlineStr">
        <is>
          <t>Failure to provide Urine Specimen</t>
        </is>
      </c>
      <c r="B63" t="n">
        <v>65</v>
      </c>
      <c r="C63" t="inlineStr">
        <is>
          <t>OTHERS</t>
        </is>
      </c>
      <c r="D63" t="inlineStr">
        <is>
          <t>Other</t>
        </is>
      </c>
      <c r="E63">
        <f>[@StatutoryNature]&lt;&gt;""</f>
        <v/>
      </c>
      <c r="F63" t="inlineStr">
        <is>
          <t>Other Offences</t>
        </is>
      </c>
      <c r="G63" t="inlineStr"/>
    </row>
    <row r="64">
      <c r="A64" t="inlineStr">
        <is>
          <t>Following Passenger About</t>
        </is>
      </c>
      <c r="B64" t="n">
        <v>50</v>
      </c>
      <c r="C64" t="inlineStr">
        <is>
          <t>AGAINST THE PERSON</t>
        </is>
      </c>
      <c r="D64" t="inlineStr">
        <is>
          <t>Other</t>
        </is>
      </c>
      <c r="E64">
        <f>[@StatutoryNature]&lt;&gt;""</f>
        <v/>
      </c>
      <c r="F64" t="inlineStr"/>
      <c r="G64" t="inlineStr"/>
    </row>
    <row r="65">
      <c r="A65" t="inlineStr">
        <is>
          <t>Found Drunk</t>
        </is>
      </c>
      <c r="B65" t="n">
        <v>45</v>
      </c>
      <c r="C65" t="inlineStr">
        <is>
          <t>OTHERS</t>
        </is>
      </c>
      <c r="D65" t="inlineStr">
        <is>
          <t>Other</t>
        </is>
      </c>
      <c r="E65">
        <f>[@StatutoryNature]&lt;&gt;""</f>
        <v/>
      </c>
      <c r="F65" t="inlineStr"/>
      <c r="G65" t="inlineStr"/>
    </row>
    <row r="66">
      <c r="A66" t="inlineStr">
        <is>
          <t>Going Equipped</t>
        </is>
      </c>
      <c r="B66" t="n">
        <v>80</v>
      </c>
      <c r="C66" t="inlineStr">
        <is>
          <t>OTHERS</t>
        </is>
      </c>
      <c r="D66" t="inlineStr">
        <is>
          <t>Other</t>
        </is>
      </c>
      <c r="E66">
        <f>[@StatutoryNature]&lt;&gt;""</f>
        <v/>
      </c>
      <c r="F66" t="inlineStr"/>
      <c r="G66" t="inlineStr"/>
    </row>
    <row r="67">
      <c r="A67" t="inlineStr">
        <is>
          <t>Greivous Harm</t>
        </is>
      </c>
      <c r="B67" t="n">
        <v>50</v>
      </c>
      <c r="C67" t="inlineStr">
        <is>
          <t>AGAINST THE PERSON</t>
        </is>
      </c>
      <c r="D67" t="inlineStr">
        <is>
          <t>Other</t>
        </is>
      </c>
      <c r="E67">
        <f>[@StatutoryNature]&lt;&gt;""</f>
        <v/>
      </c>
      <c r="F67" t="inlineStr"/>
      <c r="G67" t="inlineStr"/>
    </row>
    <row r="68">
      <c r="A68" t="inlineStr">
        <is>
          <t>Grevious Harm</t>
        </is>
      </c>
      <c r="B68" t="n">
        <v>50</v>
      </c>
      <c r="C68" t="inlineStr">
        <is>
          <t>AGAINST THE PERSON</t>
        </is>
      </c>
      <c r="D68" t="inlineStr">
        <is>
          <t>Grievous Harm</t>
        </is>
      </c>
      <c r="E68">
        <f>[@StatutoryNature]&lt;&gt;""</f>
        <v/>
      </c>
      <c r="F68" t="inlineStr"/>
      <c r="G68" t="inlineStr"/>
    </row>
    <row r="69">
      <c r="A69" t="inlineStr">
        <is>
          <t>Grievous Harm</t>
        </is>
      </c>
      <c r="B69" t="n">
        <v>78</v>
      </c>
      <c r="C69" t="inlineStr">
        <is>
          <t>AGAINST THE PERSON</t>
        </is>
      </c>
      <c r="D69" t="inlineStr">
        <is>
          <t>Other</t>
        </is>
      </c>
      <c r="E69">
        <f>[@StatutoryNature]&lt;&gt;""</f>
        <v/>
      </c>
      <c r="F69" t="inlineStr"/>
      <c r="G69" t="inlineStr"/>
    </row>
    <row r="70">
      <c r="A70" t="inlineStr">
        <is>
          <t>Handling Stolen Goods</t>
        </is>
      </c>
      <c r="B70" t="n">
        <v>50</v>
      </c>
      <c r="C70" t="inlineStr">
        <is>
          <t>AGAINST THE PERSON</t>
        </is>
      </c>
      <c r="D70" t="inlineStr">
        <is>
          <t>Handling Stolen Goods</t>
        </is>
      </c>
      <c r="E70">
        <f>[@StatutoryNature]&lt;&gt;""</f>
        <v/>
      </c>
      <c r="F70" t="inlineStr"/>
      <c r="G70" t="inlineStr"/>
    </row>
    <row r="71">
      <c r="A71" t="inlineStr">
        <is>
          <t>Harm</t>
        </is>
      </c>
      <c r="B71" t="n">
        <v>50</v>
      </c>
      <c r="C71" t="inlineStr">
        <is>
          <t>AGAINST THE PERSON</t>
        </is>
      </c>
      <c r="D71" t="inlineStr">
        <is>
          <t>Harm</t>
        </is>
      </c>
      <c r="E71">
        <f>[@StatutoryNature]&lt;&gt;""</f>
        <v/>
      </c>
      <c r="F71" t="inlineStr"/>
      <c r="G71" t="inlineStr"/>
    </row>
    <row r="72">
      <c r="A72" t="inlineStr">
        <is>
          <t>harm</t>
        </is>
      </c>
      <c r="B72" t="n">
        <v>50</v>
      </c>
      <c r="C72" t="inlineStr">
        <is>
          <t>AGAINST THE PERSON</t>
        </is>
      </c>
      <c r="D72" t="inlineStr">
        <is>
          <t>Harm</t>
        </is>
      </c>
      <c r="E72">
        <f>[@StatutoryNature]&lt;&gt;""</f>
        <v/>
      </c>
      <c r="F72" t="inlineStr"/>
      <c r="G72" t="inlineStr"/>
    </row>
    <row r="73">
      <c r="A73" t="inlineStr">
        <is>
          <t>Kept Ammunition Without A Gun License</t>
        </is>
      </c>
      <c r="B73" t="n">
        <v>95</v>
      </c>
      <c r="C73" t="inlineStr">
        <is>
          <t>OTHERS</t>
        </is>
      </c>
      <c r="D73" t="inlineStr">
        <is>
          <t>Other</t>
        </is>
      </c>
      <c r="E73">
        <f>[@StatutoryNature]&lt;&gt;""</f>
        <v/>
      </c>
      <c r="F73" t="inlineStr">
        <is>
          <t>Against Firearms Act</t>
        </is>
      </c>
      <c r="G73" t="inlineStr"/>
    </row>
    <row r="74">
      <c r="A74" t="inlineStr">
        <is>
          <t>Kept Ammunition Without a Gun License</t>
        </is>
      </c>
      <c r="B74" t="n">
        <v>95</v>
      </c>
      <c r="C74" t="inlineStr">
        <is>
          <t>OTHERS</t>
        </is>
      </c>
      <c r="D74" t="inlineStr">
        <is>
          <t>Other</t>
        </is>
      </c>
      <c r="E74">
        <f>[@StatutoryNature]&lt;&gt;""</f>
        <v/>
      </c>
      <c r="F74" t="inlineStr">
        <is>
          <t>Against Firearms Act</t>
        </is>
      </c>
      <c r="G74" t="inlineStr"/>
    </row>
    <row r="75">
      <c r="A75" t="inlineStr">
        <is>
          <t>Kept Ammunition without a Gun License</t>
        </is>
      </c>
      <c r="B75" t="n">
        <v>95</v>
      </c>
      <c r="C75" t="inlineStr">
        <is>
          <t>OTHERS</t>
        </is>
      </c>
      <c r="D75" t="inlineStr">
        <is>
          <t>Other</t>
        </is>
      </c>
      <c r="E75">
        <f>[@StatutoryNature]&lt;&gt;""</f>
        <v/>
      </c>
      <c r="F75" t="inlineStr">
        <is>
          <t>Against Firearms Act</t>
        </is>
      </c>
      <c r="G75" t="inlineStr"/>
    </row>
    <row r="76">
      <c r="A76" t="inlineStr">
        <is>
          <t>Kept ammunition without a Gun License</t>
        </is>
      </c>
      <c r="B76" t="n">
        <v>95</v>
      </c>
      <c r="C76" t="inlineStr">
        <is>
          <t>OTHERS</t>
        </is>
      </c>
      <c r="D76" t="inlineStr">
        <is>
          <t>Other</t>
        </is>
      </c>
      <c r="E76">
        <f>[@StatutoryNature]&lt;&gt;""</f>
        <v/>
      </c>
      <c r="F76" t="inlineStr">
        <is>
          <t>Against Firearms Act</t>
        </is>
      </c>
      <c r="G76" t="inlineStr"/>
    </row>
    <row r="77">
      <c r="A77" t="inlineStr">
        <is>
          <t>Kept Ammunition Withut a Gun License</t>
        </is>
      </c>
      <c r="B77" t="n">
        <v>95</v>
      </c>
      <c r="C77" t="inlineStr">
        <is>
          <t>OTHERS</t>
        </is>
      </c>
      <c r="D77" t="inlineStr">
        <is>
          <t>Other</t>
        </is>
      </c>
      <c r="E77">
        <f>[@StatutoryNature]&lt;&gt;""</f>
        <v/>
      </c>
      <c r="F77" t="inlineStr">
        <is>
          <t>Against Firearms Act</t>
        </is>
      </c>
      <c r="G77" t="inlineStr"/>
    </row>
    <row r="78">
      <c r="A78" t="inlineStr">
        <is>
          <t>Kept Firearm Without a Gun a License</t>
        </is>
      </c>
      <c r="B78" t="n">
        <v>95</v>
      </c>
      <c r="C78" t="inlineStr">
        <is>
          <t>OTHERS</t>
        </is>
      </c>
      <c r="D78" t="inlineStr">
        <is>
          <t>Other</t>
        </is>
      </c>
      <c r="E78">
        <f>[@StatutoryNature]&lt;&gt;""</f>
        <v/>
      </c>
      <c r="F78" t="inlineStr">
        <is>
          <t>Against Firearms Act</t>
        </is>
      </c>
      <c r="G78" t="inlineStr"/>
    </row>
    <row r="79">
      <c r="A79" t="inlineStr">
        <is>
          <t>Kept Firearm Without A Gun License</t>
        </is>
      </c>
      <c r="B79" t="n">
        <v>95</v>
      </c>
      <c r="C79" t="inlineStr">
        <is>
          <t>OTHERS</t>
        </is>
      </c>
      <c r="D79" t="inlineStr">
        <is>
          <t>Other</t>
        </is>
      </c>
      <c r="E79">
        <f>[@StatutoryNature]&lt;&gt;""</f>
        <v/>
      </c>
      <c r="F79" t="inlineStr">
        <is>
          <t>Against Firearms Act</t>
        </is>
      </c>
      <c r="G79" t="inlineStr"/>
    </row>
    <row r="80">
      <c r="A80" t="inlineStr">
        <is>
          <t>Kept Firearm Without a Gun License</t>
        </is>
      </c>
      <c r="B80" t="n">
        <v>95</v>
      </c>
      <c r="C80" t="inlineStr">
        <is>
          <t>OTHERS</t>
        </is>
      </c>
      <c r="D80" t="inlineStr">
        <is>
          <t>Other</t>
        </is>
      </c>
      <c r="E80">
        <f>[@StatutoryNature]&lt;&gt;""</f>
        <v/>
      </c>
      <c r="F80" t="inlineStr">
        <is>
          <t>Against Firearms Act</t>
        </is>
      </c>
      <c r="G80" t="inlineStr"/>
    </row>
    <row r="81">
      <c r="A81" t="inlineStr">
        <is>
          <t>Kept Firearm without a Gun license</t>
        </is>
      </c>
      <c r="B81" t="n">
        <v>95</v>
      </c>
      <c r="C81" t="inlineStr">
        <is>
          <t>OTHERS</t>
        </is>
      </c>
      <c r="D81" t="inlineStr">
        <is>
          <t>Other</t>
        </is>
      </c>
      <c r="E81">
        <f>[@StatutoryNature]&lt;&gt;""</f>
        <v/>
      </c>
      <c r="F81" t="inlineStr">
        <is>
          <t>Against Firearms Act</t>
        </is>
      </c>
      <c r="G81" t="inlineStr"/>
    </row>
    <row r="82">
      <c r="A82" t="inlineStr">
        <is>
          <t>Kept Prohibited Ammunition</t>
        </is>
      </c>
      <c r="B82" t="n">
        <v>90</v>
      </c>
      <c r="C82" t="inlineStr">
        <is>
          <t>OTHERS</t>
        </is>
      </c>
      <c r="D82" t="inlineStr">
        <is>
          <t>Other</t>
        </is>
      </c>
      <c r="E82">
        <f>[@StatutoryNature]&lt;&gt;""</f>
        <v/>
      </c>
      <c r="F82" t="inlineStr">
        <is>
          <t>Against Firearms Act</t>
        </is>
      </c>
      <c r="G82" t="inlineStr"/>
    </row>
    <row r="83">
      <c r="A83" t="inlineStr">
        <is>
          <t>Kept Prohibited Firearm</t>
        </is>
      </c>
      <c r="B83" t="n">
        <v>100</v>
      </c>
      <c r="C83" t="inlineStr">
        <is>
          <t>OTHERS</t>
        </is>
      </c>
      <c r="D83" t="inlineStr">
        <is>
          <t>Other</t>
        </is>
      </c>
      <c r="E83">
        <f>[@StatutoryNature]&lt;&gt;""</f>
        <v/>
      </c>
      <c r="F83" t="inlineStr">
        <is>
          <t>Against Firearms Act</t>
        </is>
      </c>
      <c r="G83" t="inlineStr"/>
    </row>
    <row r="84">
      <c r="A84" t="inlineStr">
        <is>
          <t>Loitering</t>
        </is>
      </c>
      <c r="B84" t="n">
        <v>45</v>
      </c>
      <c r="C84" t="inlineStr">
        <is>
          <t>OTHERS</t>
        </is>
      </c>
      <c r="D84" t="inlineStr">
        <is>
          <t>Other</t>
        </is>
      </c>
      <c r="E84">
        <f>[@StatutoryNature]&lt;&gt;""</f>
        <v/>
      </c>
      <c r="F84" t="inlineStr"/>
      <c r="G84" t="inlineStr"/>
    </row>
    <row r="85">
      <c r="A85" t="inlineStr">
        <is>
          <t>Manslaughter By Negligence</t>
        </is>
      </c>
      <c r="B85" t="n">
        <v>95</v>
      </c>
      <c r="C85" t="inlineStr">
        <is>
          <t>AGAINST THE PERSON</t>
        </is>
      </c>
      <c r="D85" t="inlineStr">
        <is>
          <t>Manslaughter</t>
        </is>
      </c>
      <c r="E85">
        <f>[@StatutoryNature]&lt;&gt;""</f>
        <v/>
      </c>
      <c r="F85" t="inlineStr"/>
      <c r="G85" t="inlineStr"/>
    </row>
    <row r="86">
      <c r="A86" t="inlineStr">
        <is>
          <t>Manslaugther by Negligence</t>
        </is>
      </c>
      <c r="B86" t="n">
        <v>50</v>
      </c>
      <c r="C86" t="inlineStr">
        <is>
          <t>AGAINST THE PERSON</t>
        </is>
      </c>
      <c r="D86" t="inlineStr">
        <is>
          <t>Manslaughter</t>
        </is>
      </c>
      <c r="E86">
        <f>[@StatutoryNature]&lt;&gt;""</f>
        <v/>
      </c>
      <c r="F86" t="inlineStr"/>
      <c r="G86" t="inlineStr"/>
    </row>
    <row r="87">
      <c r="A87" t="inlineStr">
        <is>
          <t>Michievous Act</t>
        </is>
      </c>
      <c r="B87" t="n">
        <v>50</v>
      </c>
      <c r="C87" t="inlineStr">
        <is>
          <t>OTHERS</t>
        </is>
      </c>
      <c r="D87" t="inlineStr">
        <is>
          <t>Other</t>
        </is>
      </c>
      <c r="E87">
        <f>[@StatutoryNature]&lt;&gt;""</f>
        <v/>
      </c>
      <c r="F87" t="inlineStr"/>
      <c r="G87" t="inlineStr"/>
    </row>
    <row r="88">
      <c r="A88" t="inlineStr">
        <is>
          <t>Murder</t>
        </is>
      </c>
      <c r="B88" t="n">
        <v>100</v>
      </c>
      <c r="C88" t="inlineStr">
        <is>
          <t>AGAINST THE PERSON</t>
        </is>
      </c>
      <c r="D88" t="inlineStr">
        <is>
          <t>Murder</t>
        </is>
      </c>
      <c r="E88">
        <f>[@StatutoryNature]&lt;&gt;""</f>
        <v/>
      </c>
      <c r="F88" t="inlineStr"/>
      <c r="G88" t="inlineStr"/>
    </row>
    <row r="89">
      <c r="A89" t="inlineStr">
        <is>
          <t>Obstruction</t>
        </is>
      </c>
      <c r="B89" t="n">
        <v>50</v>
      </c>
      <c r="C89" t="inlineStr">
        <is>
          <t>AGAINST LAWFUL AUTHORITY</t>
        </is>
      </c>
      <c r="D89" t="inlineStr">
        <is>
          <t>Other</t>
        </is>
      </c>
      <c r="E89">
        <f>[@StatutoryNature]&lt;&gt;""</f>
        <v/>
      </c>
      <c r="F89" t="inlineStr"/>
      <c r="G89" t="inlineStr"/>
    </row>
    <row r="90">
      <c r="A90" t="inlineStr">
        <is>
          <t>Obtaining Property By Deception</t>
        </is>
      </c>
      <c r="B90" t="n">
        <v>80</v>
      </c>
      <c r="C90" t="inlineStr">
        <is>
          <t>OTHERS</t>
        </is>
      </c>
      <c r="D90" t="inlineStr">
        <is>
          <t>Obtaining Property By Deception</t>
        </is>
      </c>
      <c r="E90">
        <f>[@StatutoryNature]&lt;&gt;""</f>
        <v/>
      </c>
      <c r="F90" t="inlineStr"/>
      <c r="G90" t="inlineStr"/>
    </row>
    <row r="91">
      <c r="A91" t="inlineStr">
        <is>
          <t>Obtaining Property by Deception (2 counts)</t>
        </is>
      </c>
      <c r="B91" t="n">
        <v>80</v>
      </c>
      <c r="C91" t="inlineStr">
        <is>
          <t>OTHERS</t>
        </is>
      </c>
      <c r="D91" t="inlineStr">
        <is>
          <t>Obtaining Property By Deception</t>
        </is>
      </c>
      <c r="E91">
        <f>[@StatutoryNature]&lt;&gt;""</f>
        <v/>
      </c>
      <c r="F91" t="inlineStr"/>
      <c r="G91" t="inlineStr"/>
    </row>
    <row r="92">
      <c r="A92" t="inlineStr">
        <is>
          <t>Operating as a Tour Operator Withut first Obtaining a License</t>
        </is>
      </c>
      <c r="B92" t="n">
        <v>50</v>
      </c>
      <c r="C92" t="inlineStr">
        <is>
          <t>OTHERS</t>
        </is>
      </c>
      <c r="D92" t="inlineStr">
        <is>
          <t>Other</t>
        </is>
      </c>
      <c r="E92">
        <f>[@StatutoryNature]&lt;&gt;""</f>
        <v/>
      </c>
      <c r="F92" t="inlineStr"/>
      <c r="G92" t="inlineStr"/>
    </row>
    <row r="93">
      <c r="A93" t="inlineStr">
        <is>
          <t>Possession of Article with Blade</t>
        </is>
      </c>
      <c r="B93" t="n">
        <v>60</v>
      </c>
      <c r="C93" t="inlineStr">
        <is>
          <t>OTHERS</t>
        </is>
      </c>
      <c r="D93" t="inlineStr">
        <is>
          <t>Other</t>
        </is>
      </c>
      <c r="E93">
        <f>[@StatutoryNature]&lt;&gt;""</f>
        <v/>
      </c>
      <c r="F93" t="inlineStr"/>
      <c r="G93" t="inlineStr"/>
    </row>
    <row r="94">
      <c r="A94" t="inlineStr">
        <is>
          <t>Possession of Article With Blade</t>
        </is>
      </c>
      <c r="B94" t="n">
        <v>60</v>
      </c>
      <c r="C94" t="inlineStr">
        <is>
          <t>OTHERS</t>
        </is>
      </c>
      <c r="D94" t="inlineStr">
        <is>
          <t>Possession of Controlled Drugs</t>
        </is>
      </c>
      <c r="E94">
        <f>[@StatutoryNature]&lt;&gt;""</f>
        <v/>
      </c>
      <c r="F94" t="inlineStr"/>
      <c r="G94" t="inlineStr"/>
    </row>
    <row r="95">
      <c r="A95" t="inlineStr">
        <is>
          <t>Possession of Controled Drugs</t>
        </is>
      </c>
      <c r="B95" t="n">
        <v>50</v>
      </c>
      <c r="C95" t="inlineStr">
        <is>
          <t>OTHERS</t>
        </is>
      </c>
      <c r="D95" t="inlineStr">
        <is>
          <t>Possession of Controled Drugs</t>
        </is>
      </c>
      <c r="E95">
        <f>[@StatutoryNature]&lt;&gt;""</f>
        <v/>
      </c>
      <c r="F95" t="inlineStr">
        <is>
          <t>Dangerous Drugs</t>
        </is>
      </c>
      <c r="G95" t="inlineStr"/>
    </row>
    <row r="96">
      <c r="A96" t="inlineStr">
        <is>
          <t>Possession of Controlled Drugs</t>
        </is>
      </c>
      <c r="B96" t="n">
        <v>75</v>
      </c>
      <c r="C96" t="inlineStr">
        <is>
          <t>OTHERS</t>
        </is>
      </c>
      <c r="D96" t="inlineStr">
        <is>
          <t>Possession of Controlled Drugs</t>
        </is>
      </c>
      <c r="E96">
        <f>[@StatutoryNature]&lt;&gt;""</f>
        <v/>
      </c>
      <c r="F96" t="inlineStr">
        <is>
          <t>Dangerous Drugs</t>
        </is>
      </c>
      <c r="G96" t="inlineStr"/>
    </row>
    <row r="97">
      <c r="A97" t="inlineStr">
        <is>
          <t>Possession of Controlled Drugs Intent to Supply to another</t>
        </is>
      </c>
      <c r="B97" t="n">
        <v>85</v>
      </c>
      <c r="C97" t="inlineStr">
        <is>
          <t>OTHERS</t>
        </is>
      </c>
      <c r="D97" t="inlineStr">
        <is>
          <t>Possession of Controlled Drugs With Intent to Suplly to Another</t>
        </is>
      </c>
      <c r="E97">
        <f>[@StatutoryNature]&lt;&gt;""</f>
        <v/>
      </c>
      <c r="F97" t="inlineStr">
        <is>
          <t>Dangerous Drugs</t>
        </is>
      </c>
      <c r="G97" t="inlineStr"/>
    </row>
    <row r="98">
      <c r="A98" t="inlineStr">
        <is>
          <t>Possession of Controlled Drugs Wiht intent to Supply to Another</t>
        </is>
      </c>
      <c r="B98" t="n">
        <v>85</v>
      </c>
      <c r="C98" t="inlineStr">
        <is>
          <t>OTHERS</t>
        </is>
      </c>
      <c r="D98" t="inlineStr">
        <is>
          <t>Possession of Controlled Drugs With Intent to Suplly to Another</t>
        </is>
      </c>
      <c r="E98">
        <f>[@StatutoryNature]&lt;&gt;""</f>
        <v/>
      </c>
      <c r="F98" t="inlineStr">
        <is>
          <t>Dangerous Drugs</t>
        </is>
      </c>
      <c r="G98" t="inlineStr"/>
    </row>
    <row r="99">
      <c r="A99" t="inlineStr">
        <is>
          <t>Possession of Controlled Drugs With Intent to Suplly to Another</t>
        </is>
      </c>
      <c r="B99" t="n">
        <v>75</v>
      </c>
      <c r="C99" t="inlineStr">
        <is>
          <t>OTHERS</t>
        </is>
      </c>
      <c r="D99" t="inlineStr">
        <is>
          <t>Possession of Controlled Drugs With Intent to Suplly to Another</t>
        </is>
      </c>
      <c r="E99">
        <f>[@StatutoryNature]&lt;&gt;""</f>
        <v/>
      </c>
      <c r="F99" t="inlineStr">
        <is>
          <t>Dangerous Drugs</t>
        </is>
      </c>
      <c r="G99" t="inlineStr"/>
    </row>
    <row r="100">
      <c r="A100" t="inlineStr">
        <is>
          <t>Possession of Controlled Drugs With Intent to Supply to another</t>
        </is>
      </c>
      <c r="B100" t="n">
        <v>85</v>
      </c>
      <c r="C100" t="inlineStr">
        <is>
          <t>OTHERS</t>
        </is>
      </c>
      <c r="D100" t="inlineStr">
        <is>
          <t>Other</t>
        </is>
      </c>
      <c r="E100">
        <f>[@StatutoryNature]&lt;&gt;""</f>
        <v/>
      </c>
      <c r="F100" t="inlineStr">
        <is>
          <t>Dangerous Drugs</t>
        </is>
      </c>
      <c r="G100" t="inlineStr"/>
    </row>
    <row r="101">
      <c r="A101" t="inlineStr">
        <is>
          <t>Possession of Controlled Drugs With Intent to Supply to Another</t>
        </is>
      </c>
      <c r="B101" t="n">
        <v>85</v>
      </c>
      <c r="C101" t="inlineStr">
        <is>
          <t>OTHERS</t>
        </is>
      </c>
      <c r="D101" t="inlineStr">
        <is>
          <t>Possession of Controlled Drugs with Intent to Supply to Another</t>
        </is>
      </c>
      <c r="E101">
        <f>[@StatutoryNature]&lt;&gt;""</f>
        <v/>
      </c>
      <c r="F101" t="inlineStr">
        <is>
          <t>Dangerous Drugs</t>
        </is>
      </c>
      <c r="G101" t="inlineStr"/>
    </row>
    <row r="102">
      <c r="A102" t="inlineStr">
        <is>
          <t>Possession of Controlled Drugs with Intent to Supply to Another</t>
        </is>
      </c>
      <c r="B102" t="n">
        <v>85</v>
      </c>
      <c r="C102" t="inlineStr">
        <is>
          <t>OTHERS</t>
        </is>
      </c>
      <c r="D102" t="inlineStr">
        <is>
          <t>Possession of Controlled Drugs with Intent to Supply to Another</t>
        </is>
      </c>
      <c r="E102">
        <f>[@StatutoryNature]&lt;&gt;""</f>
        <v/>
      </c>
      <c r="F102" t="inlineStr">
        <is>
          <t>Dangerous Drugs</t>
        </is>
      </c>
      <c r="G102" t="inlineStr"/>
    </row>
    <row r="103">
      <c r="A103" t="inlineStr">
        <is>
          <t>Possession of Controlled Drugs With Intent to Supply to Another (18g Crack Cocaine)</t>
        </is>
      </c>
      <c r="B103" t="n">
        <v>85</v>
      </c>
      <c r="C103" t="inlineStr">
        <is>
          <t>OTHERS</t>
        </is>
      </c>
      <c r="D103" t="inlineStr">
        <is>
          <t>Other</t>
        </is>
      </c>
      <c r="E103">
        <f>[@StatutoryNature]&lt;&gt;""</f>
        <v/>
      </c>
      <c r="F103" t="inlineStr">
        <is>
          <t>Dangerous Drugs</t>
        </is>
      </c>
      <c r="G103" t="inlineStr"/>
    </row>
    <row r="104">
      <c r="A104" t="inlineStr">
        <is>
          <t>Possession Of Controlled Drugs With Intent to Supply to Another (20grams Cocaine)</t>
        </is>
      </c>
      <c r="B104" t="n">
        <v>85</v>
      </c>
      <c r="C104" t="inlineStr">
        <is>
          <t>OTHERS</t>
        </is>
      </c>
      <c r="D104" t="inlineStr">
        <is>
          <t>Possession of Controlled Drugs with Intent to Supply to Another</t>
        </is>
      </c>
      <c r="E104">
        <f>[@StatutoryNature]&lt;&gt;""</f>
        <v/>
      </c>
      <c r="F104" t="inlineStr">
        <is>
          <t>Dangerous Drugs</t>
        </is>
      </c>
      <c r="G104" t="inlineStr"/>
    </row>
    <row r="105">
      <c r="A105" t="inlineStr">
        <is>
          <t>Possession of Controlled Drugs With Intent to Supply to Another (324g Cocaine)</t>
        </is>
      </c>
      <c r="B105" t="n">
        <v>85</v>
      </c>
      <c r="C105" t="inlineStr">
        <is>
          <t>OTHERS</t>
        </is>
      </c>
      <c r="D105" t="inlineStr">
        <is>
          <t>Other</t>
        </is>
      </c>
      <c r="E105">
        <f>[@StatutoryNature]&lt;&gt;""</f>
        <v/>
      </c>
      <c r="F105" t="inlineStr">
        <is>
          <t>Dangerous Drugs</t>
        </is>
      </c>
      <c r="G105" t="inlineStr"/>
    </row>
    <row r="106">
      <c r="A106" t="inlineStr">
        <is>
          <t>Possession of Controlled Drugs With Intent to Supply to Another (3x)</t>
        </is>
      </c>
      <c r="B106" t="n">
        <v>85</v>
      </c>
      <c r="C106" t="inlineStr">
        <is>
          <t>OTHERS</t>
        </is>
      </c>
      <c r="D106" t="inlineStr">
        <is>
          <t>Possession of Controlled Drugs with Intent to Supply to Another</t>
        </is>
      </c>
      <c r="E106">
        <f>[@StatutoryNature]&lt;&gt;""</f>
        <v/>
      </c>
      <c r="F106" t="inlineStr">
        <is>
          <t>Dangerous Drugs</t>
        </is>
      </c>
      <c r="G106" t="inlineStr"/>
    </row>
    <row r="107">
      <c r="A107" t="inlineStr">
        <is>
          <t>Possession Of Controlled Drugs With Intent to Supply to Another (446grams of Cannabis)</t>
        </is>
      </c>
      <c r="B107" t="n">
        <v>85</v>
      </c>
      <c r="C107" t="inlineStr">
        <is>
          <t>OTHERS</t>
        </is>
      </c>
      <c r="D107" t="inlineStr">
        <is>
          <t>Possession of Controlled Drugs with Intent to Supply to Another</t>
        </is>
      </c>
      <c r="E107">
        <f>[@StatutoryNature]&lt;&gt;""</f>
        <v/>
      </c>
      <c r="F107" t="inlineStr">
        <is>
          <t>Dangerous Drugs</t>
        </is>
      </c>
      <c r="G107" t="inlineStr"/>
    </row>
    <row r="108">
      <c r="A108" t="inlineStr">
        <is>
          <t>Possession of Cotrolled Drugs</t>
        </is>
      </c>
      <c r="B108" t="n">
        <v>50</v>
      </c>
      <c r="C108" t="inlineStr">
        <is>
          <t>OTHERS</t>
        </is>
      </c>
      <c r="D108" t="inlineStr">
        <is>
          <t>Possession of Controlled Drugs</t>
        </is>
      </c>
      <c r="E108">
        <f>[@StatutoryNature]&lt;&gt;""</f>
        <v/>
      </c>
      <c r="F108" t="inlineStr">
        <is>
          <t>Dangerous Drugs</t>
        </is>
      </c>
      <c r="G108" t="inlineStr"/>
    </row>
    <row r="109">
      <c r="A109" t="inlineStr">
        <is>
          <t>Possession of Firearm With Intent to Cause unlawful Violence</t>
        </is>
      </c>
      <c r="B109" t="n">
        <v>95</v>
      </c>
      <c r="C109" t="inlineStr">
        <is>
          <t>AGAINST THE PERSON</t>
        </is>
      </c>
      <c r="D109" t="inlineStr">
        <is>
          <t>Harm</t>
        </is>
      </c>
      <c r="E109">
        <f>[@StatutoryNature]&lt;&gt;""</f>
        <v/>
      </c>
      <c r="F109" t="inlineStr">
        <is>
          <t>Against Firearms Act</t>
        </is>
      </c>
      <c r="G109" t="inlineStr"/>
    </row>
    <row r="110">
      <c r="A110" t="inlineStr">
        <is>
          <t>Possession of Firearm with serial number removed</t>
        </is>
      </c>
      <c r="B110" t="n">
        <v>96</v>
      </c>
      <c r="C110" t="inlineStr">
        <is>
          <t>OTHERS</t>
        </is>
      </c>
      <c r="D110" t="inlineStr">
        <is>
          <t>Other</t>
        </is>
      </c>
      <c r="E110">
        <f>[@StatutoryNature]&lt;&gt;""</f>
        <v/>
      </c>
      <c r="F110" t="inlineStr">
        <is>
          <t>Against Firearms Act</t>
        </is>
      </c>
      <c r="G110" t="inlineStr"/>
    </row>
    <row r="111">
      <c r="A111" t="inlineStr">
        <is>
          <t>Possession of Pipe</t>
        </is>
      </c>
      <c r="B111" t="n">
        <v>62</v>
      </c>
      <c r="C111" t="inlineStr">
        <is>
          <t>OTHERS</t>
        </is>
      </c>
      <c r="D111" t="inlineStr">
        <is>
          <t>Possession of Pipe</t>
        </is>
      </c>
      <c r="E111">
        <f>[@StatutoryNature]&lt;&gt;""</f>
        <v/>
      </c>
      <c r="F111" t="inlineStr">
        <is>
          <t>Dangerous Drugs</t>
        </is>
      </c>
      <c r="G111" t="inlineStr"/>
    </row>
    <row r="112">
      <c r="A112" t="inlineStr">
        <is>
          <t>Possession of Utensil for Smoking Controlled Drugs</t>
        </is>
      </c>
      <c r="B112" t="n">
        <v>75</v>
      </c>
      <c r="C112" t="inlineStr">
        <is>
          <t>OTHERS</t>
        </is>
      </c>
      <c r="D112" t="inlineStr">
        <is>
          <t>Possession of Pipe</t>
        </is>
      </c>
      <c r="E112">
        <f>[@StatutoryNature]&lt;&gt;""</f>
        <v/>
      </c>
      <c r="F112" t="inlineStr">
        <is>
          <t>Dangerous Drugs</t>
        </is>
      </c>
      <c r="G112" t="inlineStr"/>
    </row>
    <row r="113">
      <c r="A113" t="inlineStr">
        <is>
          <t>Producing a Video Recording to Promote a Gang Related Activity</t>
        </is>
      </c>
      <c r="B113" t="n">
        <v>85</v>
      </c>
      <c r="C113" t="inlineStr">
        <is>
          <t>OTHERS</t>
        </is>
      </c>
      <c r="D113" t="inlineStr">
        <is>
          <t>Other</t>
        </is>
      </c>
      <c r="E113">
        <f>[@StatutoryNature]&lt;&gt;""</f>
        <v/>
      </c>
      <c r="F113" t="inlineStr"/>
      <c r="G113" t="inlineStr"/>
    </row>
    <row r="114">
      <c r="A114" t="inlineStr">
        <is>
          <t>Rape</t>
        </is>
      </c>
      <c r="B114" t="n">
        <v>97</v>
      </c>
      <c r="C114" t="inlineStr">
        <is>
          <t>AGAINST PUBLIC MORALITY</t>
        </is>
      </c>
      <c r="D114" t="inlineStr">
        <is>
          <t>Rape</t>
        </is>
      </c>
      <c r="E114">
        <f>[@StatutoryNature]&lt;&gt;""</f>
        <v/>
      </c>
      <c r="F114" t="inlineStr"/>
      <c r="G114" t="inlineStr"/>
    </row>
    <row r="115">
      <c r="A115" t="inlineStr">
        <is>
          <t>Rape of a Child</t>
        </is>
      </c>
      <c r="B115" t="n">
        <v>97</v>
      </c>
      <c r="C115" t="inlineStr">
        <is>
          <t>AGAINST PUBLIC MORALITY</t>
        </is>
      </c>
      <c r="D115" t="inlineStr">
        <is>
          <t>Rape</t>
        </is>
      </c>
      <c r="E115">
        <f>[@StatutoryNature]&lt;&gt;""</f>
        <v/>
      </c>
      <c r="F115" t="inlineStr"/>
      <c r="G115" t="inlineStr"/>
    </row>
    <row r="116">
      <c r="A116" t="inlineStr">
        <is>
          <t>Rape of a Child (2 counts)</t>
        </is>
      </c>
      <c r="B116" t="n">
        <v>97</v>
      </c>
      <c r="C116" t="inlineStr">
        <is>
          <t>AGAINST PUBLIC MORALITY</t>
        </is>
      </c>
      <c r="D116" t="inlineStr">
        <is>
          <t>Rape</t>
        </is>
      </c>
      <c r="E116">
        <f>[@StatutoryNature]&lt;&gt;""</f>
        <v/>
      </c>
      <c r="F116" t="inlineStr"/>
      <c r="G116" t="inlineStr"/>
    </row>
    <row r="117">
      <c r="A117" t="inlineStr">
        <is>
          <t>Reckless Driving</t>
        </is>
      </c>
      <c r="B117" t="n">
        <v>65</v>
      </c>
      <c r="C117" t="inlineStr">
        <is>
          <t>AGAINST THE PERSON</t>
        </is>
      </c>
      <c r="D117" t="inlineStr">
        <is>
          <t>Manslaughter</t>
        </is>
      </c>
      <c r="E117">
        <f>[@StatutoryNature]&lt;&gt;""</f>
        <v/>
      </c>
      <c r="F117" t="inlineStr">
        <is>
          <t>Other Offences</t>
        </is>
      </c>
      <c r="G117" t="inlineStr"/>
    </row>
    <row r="118">
      <c r="A118" t="inlineStr">
        <is>
          <t>Resist Arrest</t>
        </is>
      </c>
      <c r="B118" t="n">
        <v>55</v>
      </c>
      <c r="C118" t="inlineStr">
        <is>
          <t>AGAINST LAWFUL AUTHORITY</t>
        </is>
      </c>
      <c r="D118" t="inlineStr">
        <is>
          <t>Other</t>
        </is>
      </c>
      <c r="E118">
        <f>[@StatutoryNature]&lt;&gt;""</f>
        <v/>
      </c>
      <c r="F118" t="inlineStr"/>
      <c r="G118" t="inlineStr"/>
    </row>
    <row r="119">
      <c r="A119" t="inlineStr">
        <is>
          <t>Resist Lawful Arrest</t>
        </is>
      </c>
      <c r="B119" t="n">
        <v>50</v>
      </c>
      <c r="C119" t="inlineStr">
        <is>
          <t>AGAINST LAWFUL AUTHORITY</t>
        </is>
      </c>
      <c r="D119" t="inlineStr">
        <is>
          <t>Other</t>
        </is>
      </c>
      <c r="E119">
        <f>[@StatutoryNature]&lt;&gt;""</f>
        <v/>
      </c>
      <c r="F119" t="inlineStr"/>
      <c r="G119" t="inlineStr"/>
    </row>
    <row r="120">
      <c r="A120" t="inlineStr">
        <is>
          <t>Robbery</t>
        </is>
      </c>
      <c r="B120" t="n">
        <v>85</v>
      </c>
      <c r="C120" t="inlineStr">
        <is>
          <t>AGAINST THE PERSON</t>
        </is>
      </c>
      <c r="D120" t="inlineStr">
        <is>
          <t>Robbery</t>
        </is>
      </c>
      <c r="E120">
        <f>[@StatutoryNature]&lt;&gt;""</f>
        <v/>
      </c>
      <c r="F120" t="inlineStr"/>
      <c r="G120" t="inlineStr"/>
    </row>
    <row r="121">
      <c r="A121" t="inlineStr">
        <is>
          <t>Sexual Assault</t>
        </is>
      </c>
      <c r="B121" t="n">
        <v>90</v>
      </c>
      <c r="C121" t="inlineStr">
        <is>
          <t>AGAINST PUBLIC MORALITY</t>
        </is>
      </c>
      <c r="D121" t="inlineStr">
        <is>
          <t>Sexual Assault</t>
        </is>
      </c>
      <c r="E121">
        <f>[@StatutoryNature]&lt;&gt;""</f>
        <v/>
      </c>
      <c r="F121" t="inlineStr"/>
      <c r="G121" t="inlineStr"/>
    </row>
    <row r="122">
      <c r="A122" t="inlineStr">
        <is>
          <t>Sexual Assault (3x)</t>
        </is>
      </c>
      <c r="B122" t="n">
        <v>90</v>
      </c>
      <c r="C122" t="inlineStr">
        <is>
          <t>AGAINST PUBLIC MORALITY</t>
        </is>
      </c>
      <c r="D122" t="inlineStr">
        <is>
          <t>Sexual Assault</t>
        </is>
      </c>
      <c r="E122">
        <f>[@StatutoryNature]&lt;&gt;""</f>
        <v/>
      </c>
      <c r="F122" t="inlineStr"/>
      <c r="G122" t="inlineStr"/>
    </row>
    <row r="123">
      <c r="A123" t="inlineStr">
        <is>
          <t>Sexual Assault (4x)</t>
        </is>
      </c>
      <c r="B123" t="n">
        <v>90</v>
      </c>
      <c r="C123" t="inlineStr">
        <is>
          <t>AGAINST PUBLIC MORALITY</t>
        </is>
      </c>
      <c r="D123" t="inlineStr">
        <is>
          <t>Sexual Assault</t>
        </is>
      </c>
      <c r="E123">
        <f>[@StatutoryNature]&lt;&gt;""</f>
        <v/>
      </c>
      <c r="F123" t="inlineStr"/>
      <c r="G123" t="inlineStr"/>
    </row>
    <row r="124">
      <c r="A124" t="inlineStr">
        <is>
          <t>Smoking Cannabis</t>
        </is>
      </c>
      <c r="B124" t="n">
        <v>50</v>
      </c>
      <c r="C124" t="inlineStr">
        <is>
          <t>OTHERS</t>
        </is>
      </c>
      <c r="D124" t="inlineStr">
        <is>
          <t>Other</t>
        </is>
      </c>
      <c r="E124">
        <f>[@StatutoryNature]&lt;&gt;""</f>
        <v/>
      </c>
      <c r="F124" t="inlineStr">
        <is>
          <t>Dangerous Drugs</t>
        </is>
      </c>
      <c r="G124" t="inlineStr"/>
    </row>
    <row r="125">
      <c r="A125" t="inlineStr">
        <is>
          <t>Smoking Cannabis in Public</t>
        </is>
      </c>
      <c r="B125" t="n">
        <v>50</v>
      </c>
      <c r="C125" t="inlineStr">
        <is>
          <t>OTHERS</t>
        </is>
      </c>
      <c r="D125" t="inlineStr">
        <is>
          <t>Other</t>
        </is>
      </c>
      <c r="E125">
        <f>[@StatutoryNature]&lt;&gt;""</f>
        <v/>
      </c>
      <c r="F125" t="inlineStr">
        <is>
          <t>Dangerous Drugs</t>
        </is>
      </c>
      <c r="G125" t="inlineStr"/>
    </row>
    <row r="126">
      <c r="A126" t="inlineStr">
        <is>
          <t>Taking Conveyance</t>
        </is>
      </c>
      <c r="B126" t="n">
        <v>80</v>
      </c>
      <c r="C126" t="inlineStr">
        <is>
          <t>AGAINST PROPERTY</t>
        </is>
      </c>
      <c r="D126" t="inlineStr">
        <is>
          <t>Theft</t>
        </is>
      </c>
      <c r="E126">
        <f>[@StatutoryNature]&lt;&gt;""</f>
        <v/>
      </c>
      <c r="F126" t="inlineStr"/>
      <c r="G126" t="inlineStr"/>
    </row>
    <row r="127">
      <c r="A127" t="inlineStr">
        <is>
          <t>Taking Conveyance Without Authority</t>
        </is>
      </c>
      <c r="B127" t="n">
        <v>80</v>
      </c>
      <c r="C127" t="inlineStr">
        <is>
          <t>OTHERS</t>
        </is>
      </c>
      <c r="D127" t="inlineStr">
        <is>
          <t>Taking Vehicle/Conveyance</t>
        </is>
      </c>
      <c r="E127">
        <f>[@StatutoryNature]&lt;&gt;""</f>
        <v/>
      </c>
      <c r="F127" t="inlineStr"/>
      <c r="G127" t="inlineStr"/>
    </row>
    <row r="128">
      <c r="A128" t="inlineStr">
        <is>
          <t>Taking Motor Vehicle Without Authority</t>
        </is>
      </c>
      <c r="B128" t="n">
        <v>80</v>
      </c>
      <c r="C128" t="inlineStr">
        <is>
          <t>OTHERS</t>
        </is>
      </c>
      <c r="D128" t="inlineStr">
        <is>
          <t>Taking Vehicle/Conveyance</t>
        </is>
      </c>
      <c r="E128">
        <f>[@StatutoryNature]&lt;&gt;""</f>
        <v/>
      </c>
      <c r="F128" t="inlineStr"/>
      <c r="G128" t="inlineStr"/>
    </row>
    <row r="129">
      <c r="A129" t="inlineStr">
        <is>
          <t>Theft</t>
        </is>
      </c>
      <c r="B129" t="n">
        <v>60</v>
      </c>
      <c r="C129" t="inlineStr">
        <is>
          <t>AGAINST PROPERTY</t>
        </is>
      </c>
      <c r="D129" t="inlineStr">
        <is>
          <t>Theft</t>
        </is>
      </c>
      <c r="E129">
        <f>[@StatutoryNature]&lt;&gt;""</f>
        <v/>
      </c>
      <c r="F129" t="inlineStr"/>
      <c r="G129" t="inlineStr"/>
    </row>
    <row r="130">
      <c r="A130" t="inlineStr">
        <is>
          <t>Theft by Taking Possession of Card</t>
        </is>
      </c>
      <c r="B130" t="n">
        <v>60</v>
      </c>
      <c r="C130" t="inlineStr">
        <is>
          <t>AGAINST PROPERTY</t>
        </is>
      </c>
      <c r="D130" t="inlineStr">
        <is>
          <t>Theft</t>
        </is>
      </c>
      <c r="E130">
        <f>[@StatutoryNature]&lt;&gt;""</f>
        <v/>
      </c>
      <c r="F130" t="inlineStr"/>
      <c r="G130" t="inlineStr"/>
    </row>
    <row r="131">
      <c r="A131" t="inlineStr">
        <is>
          <t>Threat of Death</t>
        </is>
      </c>
      <c r="B131" t="n">
        <v>50</v>
      </c>
      <c r="C131" t="inlineStr">
        <is>
          <t>AGAINST THE PERSON</t>
        </is>
      </c>
      <c r="D131" t="inlineStr">
        <is>
          <t>Other</t>
        </is>
      </c>
      <c r="E131">
        <f>[@StatutoryNature]&lt;&gt;""</f>
        <v/>
      </c>
      <c r="F131" t="inlineStr"/>
      <c r="G131" t="inlineStr"/>
    </row>
    <row r="132">
      <c r="A132" t="inlineStr">
        <is>
          <t>Threats of Death</t>
        </is>
      </c>
      <c r="B132" t="n">
        <v>50</v>
      </c>
      <c r="C132" t="inlineStr">
        <is>
          <t>AGAINST THE PERSON</t>
        </is>
      </c>
      <c r="D132" t="inlineStr">
        <is>
          <t>Other</t>
        </is>
      </c>
      <c r="E132">
        <f>[@StatutoryNature]&lt;&gt;""</f>
        <v/>
      </c>
      <c r="F132" t="inlineStr"/>
      <c r="G132" t="inlineStr"/>
    </row>
    <row r="133">
      <c r="A133" t="inlineStr">
        <is>
          <t>Throwing Missiles</t>
        </is>
      </c>
      <c r="B133" t="n">
        <v>50</v>
      </c>
      <c r="C133" t="inlineStr">
        <is>
          <t>AGAINST THE PERSON</t>
        </is>
      </c>
      <c r="D133" t="inlineStr">
        <is>
          <t>Other</t>
        </is>
      </c>
      <c r="E133">
        <f>[@StatutoryNature]&lt;&gt;""</f>
        <v/>
      </c>
      <c r="F133" t="inlineStr"/>
      <c r="G133" t="inlineStr"/>
    </row>
    <row r="134">
      <c r="A134" t="inlineStr">
        <is>
          <t>Unlawful Sexual Intercourse</t>
        </is>
      </c>
      <c r="B134" t="n">
        <v>50</v>
      </c>
      <c r="C134" t="inlineStr">
        <is>
          <t>AGAINST PUBLIC MORALITY</t>
        </is>
      </c>
      <c r="D134" t="inlineStr">
        <is>
          <t>Unlawful Sexual Intercourse</t>
        </is>
      </c>
      <c r="E134">
        <f>[@StatutoryNature]&lt;&gt;""</f>
        <v/>
      </c>
      <c r="F134" t="inlineStr"/>
      <c r="G134" t="inlineStr"/>
    </row>
    <row r="135">
      <c r="A135" t="inlineStr">
        <is>
          <t>Unlawful Sexual Intercourse (11 Counts)</t>
        </is>
      </c>
      <c r="B135" t="n">
        <v>50</v>
      </c>
      <c r="C135" t="inlineStr">
        <is>
          <t>AGAINST PUBLIC MORALITY</t>
        </is>
      </c>
      <c r="D135" t="inlineStr">
        <is>
          <t>Unlawful Sexual Intercourse</t>
        </is>
      </c>
      <c r="E135">
        <f>[@StatutoryNature]&lt;&gt;""</f>
        <v/>
      </c>
      <c r="F135" t="inlineStr"/>
      <c r="G135" t="inlineStr"/>
    </row>
    <row r="136">
      <c r="A136" t="inlineStr">
        <is>
          <t>Unlawful Sexual Intercourse (2 Counts)</t>
        </is>
      </c>
      <c r="B136" t="n">
        <v>50</v>
      </c>
      <c r="C136" t="inlineStr">
        <is>
          <t>AGAINST PUBLIC MORALITY</t>
        </is>
      </c>
      <c r="D136" t="inlineStr">
        <is>
          <t>Unlawful Sexual Intercourse</t>
        </is>
      </c>
      <c r="E136">
        <f>[@StatutoryNature]&lt;&gt;""</f>
        <v/>
      </c>
      <c r="F136" t="inlineStr"/>
      <c r="G136" t="inlineStr"/>
    </row>
    <row r="137">
      <c r="A137" t="inlineStr">
        <is>
          <t>Unlawful Sexual Intercourse (2x)</t>
        </is>
      </c>
      <c r="B137" t="n">
        <v>50</v>
      </c>
      <c r="C137" t="inlineStr">
        <is>
          <t>AGAINST PUBLIC MORALITY</t>
        </is>
      </c>
      <c r="D137" t="inlineStr">
        <is>
          <t>Unlawful Sexual Intercourse</t>
        </is>
      </c>
      <c r="E137">
        <f>[@StatutoryNature]&lt;&gt;""</f>
        <v/>
      </c>
      <c r="F137" t="inlineStr"/>
      <c r="G137" t="inlineStr"/>
    </row>
    <row r="138">
      <c r="A138" t="inlineStr">
        <is>
          <t>Unlawful Sexual Intercourse (6x)</t>
        </is>
      </c>
      <c r="B138" t="n">
        <v>50</v>
      </c>
      <c r="C138" t="inlineStr">
        <is>
          <t>AGAINST PUBLIC MORALITY</t>
        </is>
      </c>
      <c r="D138" t="inlineStr">
        <is>
          <t>Unlawful Sexual Intercourse</t>
        </is>
      </c>
      <c r="E138">
        <f>[@StatutoryNature]&lt;&gt;""</f>
        <v/>
      </c>
      <c r="F138" t="inlineStr"/>
      <c r="G138" t="inlineStr"/>
    </row>
    <row r="139">
      <c r="A139" t="inlineStr">
        <is>
          <t>Unregistered Motor Vehicle</t>
        </is>
      </c>
      <c r="B139" t="n">
        <v>65</v>
      </c>
      <c r="C139" t="inlineStr">
        <is>
          <t>OTHERS</t>
        </is>
      </c>
      <c r="D139" t="inlineStr">
        <is>
          <t>Other</t>
        </is>
      </c>
      <c r="E139">
        <f>[@StatutoryNature]&lt;&gt;""</f>
        <v/>
      </c>
      <c r="F139" t="inlineStr">
        <is>
          <t>Other Offences</t>
        </is>
      </c>
      <c r="G139" t="inlineStr"/>
    </row>
    <row r="140">
      <c r="A140" t="inlineStr">
        <is>
          <t>Use of Deadly means of Haarm</t>
        </is>
      </c>
      <c r="B140" t="n">
        <v>82</v>
      </c>
      <c r="C140" t="inlineStr">
        <is>
          <t>AGAINST THE PERSON</t>
        </is>
      </c>
      <c r="D140" t="inlineStr">
        <is>
          <t>Grievous Harm</t>
        </is>
      </c>
      <c r="E140">
        <f>[@StatutoryNature]&lt;&gt;""</f>
        <v/>
      </c>
      <c r="F140" t="inlineStr"/>
      <c r="G140" t="inlineStr"/>
    </row>
    <row r="141">
      <c r="A141" t="inlineStr">
        <is>
          <t>Use of Deadly Means of Harm</t>
        </is>
      </c>
      <c r="B141" t="n">
        <v>82</v>
      </c>
      <c r="C141" t="inlineStr">
        <is>
          <t>AGAINST THE PERSON</t>
        </is>
      </c>
      <c r="D141" t="inlineStr">
        <is>
          <t>Attempted Murder</t>
        </is>
      </c>
      <c r="E141">
        <f>[@StatutoryNature]&lt;&gt;""</f>
        <v/>
      </c>
      <c r="F141" t="inlineStr"/>
      <c r="G141" t="inlineStr"/>
    </row>
    <row r="142">
      <c r="A142" t="inlineStr">
        <is>
          <t>Use of Deadly means of Harm</t>
        </is>
      </c>
      <c r="B142" t="n">
        <v>82</v>
      </c>
      <c r="C142" t="inlineStr">
        <is>
          <t>AGAINST THE PERSON</t>
        </is>
      </c>
      <c r="D142" t="inlineStr">
        <is>
          <t>Wounding</t>
        </is>
      </c>
      <c r="E142">
        <f>[@StatutoryNature]&lt;&gt;""</f>
        <v/>
      </c>
      <c r="F142" t="inlineStr"/>
      <c r="G142" t="inlineStr"/>
    </row>
    <row r="143">
      <c r="A143" t="inlineStr">
        <is>
          <t>Use of Threatening Word</t>
        </is>
      </c>
      <c r="B143" t="n">
        <v>50</v>
      </c>
      <c r="C143" t="inlineStr">
        <is>
          <t>AGAINST LAWFUL AUTHORITY</t>
        </is>
      </c>
      <c r="D143" t="inlineStr">
        <is>
          <t>Other</t>
        </is>
      </c>
      <c r="E143">
        <f>[@StatutoryNature]&lt;&gt;""</f>
        <v/>
      </c>
      <c r="F143" t="inlineStr"/>
      <c r="G143" t="inlineStr"/>
    </row>
    <row r="144">
      <c r="A144" t="inlineStr">
        <is>
          <t>Used a Computer System to Publish Data that is Obscene and Vulgar</t>
        </is>
      </c>
      <c r="B144" t="n">
        <v>50</v>
      </c>
      <c r="C144" t="inlineStr">
        <is>
          <t>AGAINST THE PERSON</t>
        </is>
      </c>
      <c r="D144" t="inlineStr">
        <is>
          <t>Other</t>
        </is>
      </c>
      <c r="E144">
        <f>[@StatutoryNature]&lt;&gt;""</f>
        <v/>
      </c>
      <c r="F144" t="inlineStr"/>
      <c r="G144" t="inlineStr"/>
    </row>
    <row r="145">
      <c r="A145" t="inlineStr">
        <is>
          <t>Used A Computer System to Transmit Computer data That Threatens the Other Person With Violence (4 counts)</t>
        </is>
      </c>
      <c r="B145" t="n">
        <v>50</v>
      </c>
      <c r="C145" t="inlineStr">
        <is>
          <t>AGAINST THE PERSON</t>
        </is>
      </c>
      <c r="D145" t="inlineStr">
        <is>
          <t>Other</t>
        </is>
      </c>
      <c r="E145">
        <f>[@StatutoryNature]&lt;&gt;""</f>
        <v/>
      </c>
      <c r="F145" t="inlineStr"/>
      <c r="G145" t="inlineStr"/>
    </row>
    <row r="146">
      <c r="A146" t="inlineStr">
        <is>
          <t>Used a Computer System to Transmit Computer Data thatis Profane (2 counts)</t>
        </is>
      </c>
      <c r="B146" t="n">
        <v>50</v>
      </c>
      <c r="C146" t="inlineStr">
        <is>
          <t>AGAINST THE PERSON</t>
        </is>
      </c>
      <c r="D146" t="inlineStr">
        <is>
          <t>Other</t>
        </is>
      </c>
      <c r="E146">
        <f>[@StatutoryNature]&lt;&gt;""</f>
        <v/>
      </c>
      <c r="F146" t="inlineStr"/>
      <c r="G146" t="inlineStr"/>
    </row>
    <row r="147">
      <c r="A147" t="inlineStr">
        <is>
          <t>Used an Unlicensed Motor Vehicle</t>
        </is>
      </c>
      <c r="B147" t="n">
        <v>65</v>
      </c>
      <c r="C147" t="inlineStr">
        <is>
          <t>OTHERS</t>
        </is>
      </c>
      <c r="D147" t="inlineStr">
        <is>
          <t>Other</t>
        </is>
      </c>
      <c r="E147">
        <f>[@StatutoryNature]&lt;&gt;""</f>
        <v/>
      </c>
      <c r="F147" t="inlineStr">
        <is>
          <t>Other Offences</t>
        </is>
      </c>
      <c r="G147" t="inlineStr"/>
    </row>
    <row r="148">
      <c r="A148" t="inlineStr">
        <is>
          <t>Used Motor Vehicle Not Covered by third Party Risk Insurance</t>
        </is>
      </c>
      <c r="B148" t="n">
        <v>65</v>
      </c>
      <c r="C148" t="inlineStr">
        <is>
          <t>OTHERS</t>
        </is>
      </c>
      <c r="D148" t="inlineStr">
        <is>
          <t>Other</t>
        </is>
      </c>
      <c r="E148">
        <f>[@StatutoryNature]&lt;&gt;""</f>
        <v/>
      </c>
      <c r="F148" t="inlineStr">
        <is>
          <t>Other Offences</t>
        </is>
      </c>
      <c r="G148" t="inlineStr"/>
    </row>
    <row r="149">
      <c r="A149" t="inlineStr">
        <is>
          <t>Used Motor Vehicle not covered by third party risk insurance</t>
        </is>
      </c>
      <c r="B149" t="n">
        <v>65</v>
      </c>
      <c r="C149" t="inlineStr">
        <is>
          <t>OTHERS</t>
        </is>
      </c>
      <c r="D149" t="inlineStr">
        <is>
          <t>Other</t>
        </is>
      </c>
      <c r="E149">
        <f>[@StatutoryNature]&lt;&gt;""</f>
        <v/>
      </c>
      <c r="F149" t="inlineStr">
        <is>
          <t>Other Offences</t>
        </is>
      </c>
      <c r="G149" t="inlineStr"/>
    </row>
    <row r="150">
      <c r="A150" t="inlineStr">
        <is>
          <t>Used motor Vehicle not Covered by Third party risk insurance</t>
        </is>
      </c>
      <c r="B150" t="n">
        <v>65</v>
      </c>
      <c r="C150" t="inlineStr">
        <is>
          <t>OTHERS</t>
        </is>
      </c>
      <c r="D150" t="inlineStr">
        <is>
          <t>Other</t>
        </is>
      </c>
      <c r="E150">
        <f>[@StatutoryNature]&lt;&gt;""</f>
        <v/>
      </c>
      <c r="F150" t="inlineStr">
        <is>
          <t>Other Offences</t>
        </is>
      </c>
      <c r="G150" t="inlineStr"/>
    </row>
    <row r="151">
      <c r="A151" t="inlineStr">
        <is>
          <t>used motor Vehicle not covered by third party risk insurance</t>
        </is>
      </c>
      <c r="B151" t="n">
        <v>65</v>
      </c>
      <c r="C151" t="inlineStr">
        <is>
          <t>OTHERS</t>
        </is>
      </c>
      <c r="D151" t="inlineStr">
        <is>
          <t>Other</t>
        </is>
      </c>
      <c r="E151">
        <f>[@StatutoryNature]&lt;&gt;""</f>
        <v/>
      </c>
      <c r="F151" t="inlineStr">
        <is>
          <t>Other Offences</t>
        </is>
      </c>
      <c r="G151" t="inlineStr"/>
    </row>
    <row r="152">
      <c r="A152" t="inlineStr">
        <is>
          <t>Used motor vehicle whilst being covered by third party risk insurance</t>
        </is>
      </c>
      <c r="B152" t="n">
        <v>65</v>
      </c>
      <c r="C152" t="inlineStr">
        <is>
          <t>OTHERS</t>
        </is>
      </c>
      <c r="D152" t="inlineStr">
        <is>
          <t>Other</t>
        </is>
      </c>
      <c r="E152">
        <f>[@StatutoryNature]&lt;&gt;""</f>
        <v/>
      </c>
      <c r="F152" t="inlineStr">
        <is>
          <t>Other Offences</t>
        </is>
      </c>
      <c r="G152" t="inlineStr"/>
    </row>
    <row r="153">
      <c r="A153" t="inlineStr">
        <is>
          <t>Used Motor Vehicle Whilst not Being covered by third party risk insurance</t>
        </is>
      </c>
      <c r="B153" t="n">
        <v>65</v>
      </c>
      <c r="C153" t="inlineStr">
        <is>
          <t>OTHERS</t>
        </is>
      </c>
      <c r="D153" t="inlineStr">
        <is>
          <t>Other</t>
        </is>
      </c>
      <c r="E153">
        <f>[@StatutoryNature]&lt;&gt;""</f>
        <v/>
      </c>
      <c r="F153" t="inlineStr">
        <is>
          <t>Other Offences</t>
        </is>
      </c>
      <c r="G153" t="inlineStr"/>
    </row>
    <row r="154">
      <c r="A154" t="inlineStr">
        <is>
          <t>Used motor vehicle Whilst not being covered by third Party Risk Insurance</t>
        </is>
      </c>
      <c r="B154" t="n">
        <v>65</v>
      </c>
      <c r="C154" t="inlineStr">
        <is>
          <t>OTHERS</t>
        </is>
      </c>
      <c r="D154" t="inlineStr">
        <is>
          <t>Other</t>
        </is>
      </c>
      <c r="E154">
        <f>[@StatutoryNature]&lt;&gt;""</f>
        <v/>
      </c>
      <c r="F154" t="inlineStr">
        <is>
          <t>Other Offences</t>
        </is>
      </c>
      <c r="G154" t="inlineStr"/>
    </row>
    <row r="155">
      <c r="A155" t="inlineStr">
        <is>
          <t>Used Motor Vehicle Whilst not beingcovered by third party risk insurance</t>
        </is>
      </c>
      <c r="B155" t="n">
        <v>65</v>
      </c>
      <c r="C155" t="inlineStr">
        <is>
          <t>OTHERS</t>
        </is>
      </c>
      <c r="D155" t="inlineStr">
        <is>
          <t>Other</t>
        </is>
      </c>
      <c r="E155">
        <f>[@StatutoryNature]&lt;&gt;""</f>
        <v/>
      </c>
      <c r="F155" t="inlineStr">
        <is>
          <t>Other Offences</t>
        </is>
      </c>
      <c r="G155" t="inlineStr"/>
    </row>
    <row r="156">
      <c r="A156" t="inlineStr">
        <is>
          <t>Used Motor Vehicle whilst not covered by third party risk insurance</t>
        </is>
      </c>
      <c r="B156" t="n">
        <v>65</v>
      </c>
      <c r="C156" t="inlineStr">
        <is>
          <t>OTHERS</t>
        </is>
      </c>
      <c r="D156" t="inlineStr">
        <is>
          <t>Other</t>
        </is>
      </c>
      <c r="E156">
        <f>[@StatutoryNature]&lt;&gt;""</f>
        <v/>
      </c>
      <c r="F156" t="inlineStr">
        <is>
          <t>Other Offences</t>
        </is>
      </c>
      <c r="G156" t="inlineStr"/>
    </row>
    <row r="157">
      <c r="A157" t="inlineStr">
        <is>
          <t>Used Motor Whilst not being covered by third party risk insurance</t>
        </is>
      </c>
      <c r="B157" t="n">
        <v>65</v>
      </c>
      <c r="C157" t="inlineStr">
        <is>
          <t>OTHERS</t>
        </is>
      </c>
      <c r="D157" t="inlineStr">
        <is>
          <t>Other</t>
        </is>
      </c>
      <c r="E157">
        <f>[@StatutoryNature]&lt;&gt;""</f>
        <v/>
      </c>
      <c r="F157" t="inlineStr">
        <is>
          <t>Other Offences</t>
        </is>
      </c>
      <c r="G157" t="inlineStr"/>
    </row>
    <row r="158">
      <c r="A158" t="inlineStr">
        <is>
          <t>Used Unlicensed Motor Vehicle</t>
        </is>
      </c>
      <c r="B158" t="n">
        <v>65</v>
      </c>
      <c r="C158" t="inlineStr">
        <is>
          <t>OTHERS</t>
        </is>
      </c>
      <c r="D158" t="inlineStr">
        <is>
          <t>Other</t>
        </is>
      </c>
      <c r="E158">
        <f>[@StatutoryNature]&lt;&gt;""</f>
        <v/>
      </c>
      <c r="F158" t="inlineStr">
        <is>
          <t>Other Offences</t>
        </is>
      </c>
      <c r="G158" t="inlineStr"/>
    </row>
    <row r="159">
      <c r="A159" t="inlineStr">
        <is>
          <t>Using A Computer System to Transmit Computer Data That is Lewd</t>
        </is>
      </c>
      <c r="B159" t="n">
        <v>50</v>
      </c>
      <c r="C159" t="inlineStr">
        <is>
          <t>AGAINST THE PERSON</t>
        </is>
      </c>
      <c r="D159" t="inlineStr">
        <is>
          <t>Other</t>
        </is>
      </c>
      <c r="E159">
        <f>[@StatutoryNature]&lt;&gt;""</f>
        <v/>
      </c>
      <c r="F159" t="inlineStr"/>
      <c r="G159" t="inlineStr"/>
    </row>
    <row r="160">
      <c r="A160" t="inlineStr">
        <is>
          <t>Using Abusive Language</t>
        </is>
      </c>
      <c r="B160" t="n">
        <v>50</v>
      </c>
      <c r="C160" t="inlineStr">
        <is>
          <t>AGAINST THE PERSON</t>
        </is>
      </c>
      <c r="D160" t="inlineStr">
        <is>
          <t>Other</t>
        </is>
      </c>
      <c r="E160">
        <f>[@StatutoryNature]&lt;&gt;""</f>
        <v/>
      </c>
      <c r="F160" t="inlineStr"/>
      <c r="G160" t="inlineStr"/>
    </row>
    <row r="161">
      <c r="A161" t="inlineStr">
        <is>
          <t>Using Abusive Languagge</t>
        </is>
      </c>
      <c r="B161" t="n">
        <v>50</v>
      </c>
      <c r="C161" t="inlineStr">
        <is>
          <t>AGAINST LAWFUL AUTHORITY</t>
        </is>
      </c>
      <c r="D161" t="inlineStr">
        <is>
          <t>Escape</t>
        </is>
      </c>
      <c r="E161">
        <f>[@StatutoryNature]&lt;&gt;""</f>
        <v/>
      </c>
      <c r="F161" t="inlineStr"/>
      <c r="G161" t="inlineStr"/>
    </row>
    <row r="162">
      <c r="A162" t="inlineStr">
        <is>
          <t>Using Insulting Words</t>
        </is>
      </c>
      <c r="B162" t="n">
        <v>50</v>
      </c>
      <c r="C162" t="inlineStr">
        <is>
          <t>AGAINST THE PERSON</t>
        </is>
      </c>
      <c r="D162" t="inlineStr">
        <is>
          <t>Other</t>
        </is>
      </c>
      <c r="E162">
        <f>[@StatutoryNature]&lt;&gt;""</f>
        <v/>
      </c>
      <c r="F162" t="inlineStr"/>
      <c r="G162" t="inlineStr"/>
    </row>
    <row r="163">
      <c r="A163" t="inlineStr">
        <is>
          <t>Using Obscene Language</t>
        </is>
      </c>
      <c r="B163" t="n">
        <v>50</v>
      </c>
      <c r="C163" t="inlineStr">
        <is>
          <t>AGAINST THE PERSON</t>
        </is>
      </c>
      <c r="D163" t="inlineStr">
        <is>
          <t>Other</t>
        </is>
      </c>
      <c r="E163">
        <f>[@StatutoryNature]&lt;&gt;""</f>
        <v/>
      </c>
      <c r="F163" t="inlineStr"/>
      <c r="G163" t="inlineStr"/>
    </row>
    <row r="164">
      <c r="A164" t="inlineStr">
        <is>
          <t>Using Threatening Word</t>
        </is>
      </c>
      <c r="B164" t="n">
        <v>50</v>
      </c>
      <c r="C164" t="inlineStr">
        <is>
          <t>AGAINST THE PERSON</t>
        </is>
      </c>
      <c r="D164" t="inlineStr">
        <is>
          <t>Aggravated Assault</t>
        </is>
      </c>
      <c r="E164">
        <f>[@StatutoryNature]&lt;&gt;""</f>
        <v/>
      </c>
      <c r="F164" t="inlineStr"/>
      <c r="G164" t="inlineStr"/>
    </row>
    <row r="165">
      <c r="A165" t="inlineStr">
        <is>
          <t>Wanfering Abroad</t>
        </is>
      </c>
      <c r="B165" t="n">
        <v>50</v>
      </c>
      <c r="C165" t="inlineStr">
        <is>
          <t>AGAINST THE PERSON</t>
        </is>
      </c>
      <c r="D165" t="inlineStr">
        <is>
          <t>Other</t>
        </is>
      </c>
      <c r="E165">
        <f>[@StatutoryNature]&lt;&gt;""</f>
        <v/>
      </c>
      <c r="F165" t="inlineStr"/>
      <c r="G165" t="inlineStr"/>
    </row>
    <row r="166">
      <c r="A166" t="inlineStr">
        <is>
          <t>Wondering Abroad</t>
        </is>
      </c>
      <c r="B166" t="n">
        <v>45</v>
      </c>
      <c r="C166" t="inlineStr">
        <is>
          <t>OTHERS</t>
        </is>
      </c>
      <c r="D166" t="inlineStr">
        <is>
          <t>Other</t>
        </is>
      </c>
      <c r="E166">
        <f>[@StatutoryNature]&lt;&gt;""</f>
        <v/>
      </c>
      <c r="F166" t="inlineStr"/>
      <c r="G166" t="inlineStr"/>
    </row>
    <row r="167">
      <c r="A167" t="inlineStr">
        <is>
          <t>Wounding</t>
        </is>
      </c>
      <c r="B167" t="n">
        <v>80</v>
      </c>
      <c r="C167" t="inlineStr">
        <is>
          <t>AGAINST THE PERSON</t>
        </is>
      </c>
      <c r="D167" t="inlineStr">
        <is>
          <t>Wounding</t>
        </is>
      </c>
      <c r="E167">
        <f>[@StatutoryNature]&lt;&gt;""</f>
        <v/>
      </c>
      <c r="F167" t="inlineStr"/>
      <c r="G167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3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30" customWidth="1" min="5" max="5"/>
    <col width="30" customWidth="1" min="6" max="6"/>
    <col width="30" customWidth="1" min="8" max="8"/>
    <col width="28" customWidth="1" min="10" max="10"/>
    <col width="16" customWidth="1" min="12" max="12"/>
  </cols>
  <sheetData>
    <row r="1">
      <c r="A1" s="15" t="inlineStr">
        <is>
          <t>HELPER / REFERENCE DATA — Do not rename or delete tables or columns.</t>
        </is>
      </c>
    </row>
    <row r="2">
      <c r="A2" s="16" t="inlineStr">
        <is>
          <t>Outcome Mapping</t>
        </is>
      </c>
      <c r="E2" s="16" t="inlineStr">
        <is>
          <t>Stat Patterns</t>
        </is>
      </c>
      <c r="H2" s="16" t="inlineStr">
        <is>
          <t>Stat Labels</t>
        </is>
      </c>
      <c r="J2" s="16" t="inlineStr">
        <is>
          <t>Officers</t>
        </is>
      </c>
      <c r="L2" s="16" t="inlineStr">
        <is>
          <t>Stations</t>
        </is>
      </c>
    </row>
    <row r="3">
      <c r="A3" s="1" t="inlineStr">
        <is>
          <t>OutcomeText</t>
        </is>
      </c>
      <c r="B3" s="1" t="inlineStr">
        <is>
          <t>CaseStatusBucket</t>
        </is>
      </c>
      <c r="E3" s="1" t="inlineStr">
        <is>
          <t>Pattern</t>
        </is>
      </c>
      <c r="F3" s="1" t="inlineStr">
        <is>
          <t>StatutoryNature</t>
        </is>
      </c>
      <c r="H3" s="1" t="inlineStr">
        <is>
          <t>StatutoryNature</t>
        </is>
      </c>
      <c r="J3" s="1" t="inlineStr">
        <is>
          <t>ArrestingOfficer</t>
        </is>
      </c>
      <c r="L3" s="1" t="inlineStr">
        <is>
          <t>Station</t>
        </is>
      </c>
    </row>
    <row r="4">
      <c r="A4" t="inlineStr">
        <is>
          <t>P.I Conducted</t>
        </is>
      </c>
      <c r="B4" t="inlineStr">
        <is>
          <t>P.I Conducted</t>
        </is>
      </c>
      <c r="E4" t="inlineStr">
        <is>
          <t>Drugs</t>
        </is>
      </c>
      <c r="F4" t="inlineStr">
        <is>
          <t>Dangerous Drugs</t>
        </is>
      </c>
      <c r="H4" t="inlineStr">
        <is>
          <t>Dangerous Drugs</t>
        </is>
      </c>
      <c r="J4" t="inlineStr">
        <is>
          <t>Abi Taca DC 2393</t>
        </is>
      </c>
      <c r="L4" t="inlineStr">
        <is>
          <t>San Pedro</t>
        </is>
      </c>
    </row>
    <row r="5">
      <c r="A5" t="inlineStr">
        <is>
          <t>Struck Out</t>
        </is>
      </c>
      <c r="B5" t="inlineStr">
        <is>
          <t>Struck Out</t>
        </is>
      </c>
      <c r="E5" t="inlineStr">
        <is>
          <t>Pipe</t>
        </is>
      </c>
      <c r="F5" t="inlineStr">
        <is>
          <t>Dangerous Drugs</t>
        </is>
      </c>
      <c r="H5" t="inlineStr">
        <is>
          <t>Against Firearms Act</t>
        </is>
      </c>
      <c r="J5" t="inlineStr">
        <is>
          <t>Adan Uh CPL 1672</t>
        </is>
      </c>
      <c r="L5" t="inlineStr">
        <is>
          <t>Caye Caulker</t>
        </is>
      </c>
    </row>
    <row r="6">
      <c r="A6" t="inlineStr">
        <is>
          <t>Bond Over</t>
        </is>
      </c>
      <c r="B6" t="inlineStr">
        <is>
          <t>Bond Over</t>
        </is>
      </c>
      <c r="E6" t="inlineStr">
        <is>
          <t>Utensil</t>
        </is>
      </c>
      <c r="F6" t="inlineStr">
        <is>
          <t>Dangerous Drugs</t>
        </is>
      </c>
      <c r="H6" t="inlineStr">
        <is>
          <t>Against Liqour Act</t>
        </is>
      </c>
      <c r="J6" t="inlineStr">
        <is>
          <t>Adolfo Zetina PC 2659</t>
        </is>
      </c>
    </row>
    <row r="7">
      <c r="A7" t="inlineStr">
        <is>
          <t>Withdrawn</t>
        </is>
      </c>
      <c r="B7" t="inlineStr">
        <is>
          <t>Withdrawn</t>
        </is>
      </c>
      <c r="E7" t="inlineStr">
        <is>
          <t>Cannabis</t>
        </is>
      </c>
      <c r="F7" t="inlineStr">
        <is>
          <t>Dangerous Drugs</t>
        </is>
      </c>
      <c r="H7" t="inlineStr">
        <is>
          <t>Against Police Act</t>
        </is>
      </c>
      <c r="J7" t="inlineStr">
        <is>
          <t>Adrian Chavez PC 326</t>
        </is>
      </c>
    </row>
    <row r="8">
      <c r="A8" t="inlineStr">
        <is>
          <t>Dismissed</t>
        </is>
      </c>
      <c r="B8" t="inlineStr">
        <is>
          <t>Dismissed</t>
        </is>
      </c>
      <c r="E8" t="inlineStr">
        <is>
          <t>Firearm</t>
        </is>
      </c>
      <c r="F8" t="inlineStr">
        <is>
          <t>Against Firearms Act</t>
        </is>
      </c>
      <c r="H8" t="inlineStr">
        <is>
          <t>Gambling</t>
        </is>
      </c>
      <c r="J8" t="inlineStr">
        <is>
          <t>Aisha Hall PC #800</t>
        </is>
      </c>
    </row>
    <row r="9">
      <c r="A9" t="inlineStr">
        <is>
          <t>Conditional Discharged</t>
        </is>
      </c>
      <c r="B9" t="inlineStr">
        <is>
          <t>Conditional Discharged</t>
        </is>
      </c>
      <c r="E9" t="inlineStr">
        <is>
          <t>Ammunition</t>
        </is>
      </c>
      <c r="F9" t="inlineStr">
        <is>
          <t>Against Firearms Act</t>
        </is>
      </c>
      <c r="H9" t="inlineStr">
        <is>
          <t>Summary Jurisdiction Offences</t>
        </is>
      </c>
      <c r="J9" t="inlineStr">
        <is>
          <t>Alba Sho PC 2621</t>
        </is>
      </c>
    </row>
    <row r="10">
      <c r="A10" t="inlineStr">
        <is>
          <t>Convicted</t>
        </is>
      </c>
      <c r="B10" t="inlineStr">
        <is>
          <t>Convicted</t>
        </is>
      </c>
      <c r="E10" t="inlineStr">
        <is>
          <t>Gun License</t>
        </is>
      </c>
      <c r="F10" t="inlineStr">
        <is>
          <t>Against Firearms Act</t>
        </is>
      </c>
      <c r="H10" t="inlineStr">
        <is>
          <t>Other Offences</t>
        </is>
      </c>
      <c r="J10" t="inlineStr">
        <is>
          <t>Albert Lawrence PC 1204</t>
        </is>
      </c>
    </row>
    <row r="11">
      <c r="A11" t="inlineStr">
        <is>
          <t>Acquitted</t>
        </is>
      </c>
      <c r="B11" t="inlineStr">
        <is>
          <t>Acquitted</t>
        </is>
      </c>
      <c r="E11" t="inlineStr">
        <is>
          <t>Police</t>
        </is>
      </c>
      <c r="F11" t="inlineStr">
        <is>
          <t>Against Police Act</t>
        </is>
      </c>
      <c r="J11" t="inlineStr">
        <is>
          <t>Alexie Muschamp PC 2520</t>
        </is>
      </c>
    </row>
    <row r="12">
      <c r="A12" t="inlineStr">
        <is>
          <t>Adjourned</t>
        </is>
      </c>
      <c r="B12" t="inlineStr">
        <is>
          <t>Active</t>
        </is>
      </c>
      <c r="E12" t="inlineStr">
        <is>
          <t>Harm</t>
        </is>
      </c>
      <c r="F12" t="inlineStr">
        <is>
          <t>Summary Jurisdiction Offences</t>
        </is>
      </c>
      <c r="J12" t="inlineStr">
        <is>
          <t>Alfonso Chuc CPL 176</t>
        </is>
      </c>
    </row>
    <row r="13">
      <c r="A13" t="inlineStr">
        <is>
          <t>Set for trial</t>
        </is>
      </c>
      <c r="B13" t="inlineStr">
        <is>
          <t>set for trial</t>
        </is>
      </c>
      <c r="E13" t="inlineStr">
        <is>
          <t>Drove Motor Vehicle</t>
        </is>
      </c>
      <c r="F13" t="inlineStr">
        <is>
          <t>Other Offences</t>
        </is>
      </c>
      <c r="J13" t="inlineStr">
        <is>
          <t>Allan Domingo PC 2029</t>
        </is>
      </c>
    </row>
    <row r="14">
      <c r="A14" t="inlineStr">
        <is>
          <t>Set for P.I.</t>
        </is>
      </c>
      <c r="B14" t="inlineStr">
        <is>
          <t>Active</t>
        </is>
      </c>
      <c r="E14" t="inlineStr">
        <is>
          <t>Used Motor Vehicle</t>
        </is>
      </c>
      <c r="F14" t="inlineStr">
        <is>
          <t>Other Offences</t>
        </is>
      </c>
      <c r="J14" t="inlineStr">
        <is>
          <t>Allan Woods SGT 1037</t>
        </is>
      </c>
    </row>
    <row r="15">
      <c r="A15" t="inlineStr">
        <is>
          <t>Bench Warrant</t>
        </is>
      </c>
      <c r="B15" t="inlineStr">
        <is>
          <t>Active</t>
        </is>
      </c>
      <c r="E15" t="inlineStr">
        <is>
          <t>Unregistered Motor Vehicle</t>
        </is>
      </c>
      <c r="F15" t="inlineStr">
        <is>
          <t>Other Offences</t>
        </is>
      </c>
      <c r="J15" t="inlineStr">
        <is>
          <t>Avian Crawford PC 1730</t>
        </is>
      </c>
    </row>
    <row r="16">
      <c r="E16" t="inlineStr">
        <is>
          <t>Unlicensed Motor Vehicle</t>
        </is>
      </c>
      <c r="F16" t="inlineStr">
        <is>
          <t>Other Offences</t>
        </is>
      </c>
      <c r="J16" t="inlineStr">
        <is>
          <t>Charles Garcia PC 1047</t>
        </is>
      </c>
    </row>
    <row r="17">
      <c r="E17" t="inlineStr">
        <is>
          <t>Driver's License</t>
        </is>
      </c>
      <c r="F17" t="inlineStr">
        <is>
          <t>Other Offences</t>
        </is>
      </c>
      <c r="J17" t="inlineStr">
        <is>
          <t>Claude Pitts SGT 920</t>
        </is>
      </c>
    </row>
    <row r="18">
      <c r="E18" t="inlineStr">
        <is>
          <t>third party risk insurance</t>
        </is>
      </c>
      <c r="F18" t="inlineStr">
        <is>
          <t>Other Offences</t>
        </is>
      </c>
      <c r="J18" t="inlineStr">
        <is>
          <t>Delson Arzu DC 135</t>
        </is>
      </c>
    </row>
    <row r="19">
      <c r="E19" t="inlineStr">
        <is>
          <t>Without Due Care</t>
        </is>
      </c>
      <c r="F19" t="inlineStr">
        <is>
          <t>Other Offences</t>
        </is>
      </c>
      <c r="J19" t="inlineStr">
        <is>
          <t>Desmond Nunez PC 1929</t>
        </is>
      </c>
    </row>
    <row r="20">
      <c r="E20" t="inlineStr">
        <is>
          <t>Reckless Driving</t>
        </is>
      </c>
      <c r="F20" t="inlineStr">
        <is>
          <t>Other Offences</t>
        </is>
      </c>
      <c r="J20" t="inlineStr">
        <is>
          <t>Efren Nasario PC 949</t>
        </is>
      </c>
    </row>
    <row r="21">
      <c r="E21" t="inlineStr">
        <is>
          <t>Driving Whilst Unfit</t>
        </is>
      </c>
      <c r="F21" t="inlineStr">
        <is>
          <t>Other Offences</t>
        </is>
      </c>
      <c r="J21" t="inlineStr">
        <is>
          <t>Erin Pate PC 2272</t>
        </is>
      </c>
    </row>
    <row r="22">
      <c r="E22" t="inlineStr">
        <is>
          <t>Fail to Provide Specimen</t>
        </is>
      </c>
      <c r="F22" t="inlineStr">
        <is>
          <t>Other Offences</t>
        </is>
      </c>
      <c r="J22" t="inlineStr">
        <is>
          <t>Eyon Valerio CPL 404</t>
        </is>
      </c>
    </row>
    <row r="23">
      <c r="E23" t="inlineStr">
        <is>
          <t>Assault</t>
        </is>
      </c>
      <c r="F23" t="inlineStr">
        <is>
          <t>Summary Jurisdiction Offences</t>
        </is>
      </c>
      <c r="J23" t="inlineStr">
        <is>
          <t>Gabriel Cruz PC 471</t>
        </is>
      </c>
    </row>
    <row r="24">
      <c r="E24" t="inlineStr">
        <is>
          <t>Murder</t>
        </is>
      </c>
      <c r="F24" t="inlineStr">
        <is>
          <t>Other Offences</t>
        </is>
      </c>
      <c r="J24" t="inlineStr">
        <is>
          <t>Hector Esquivel PC 1597</t>
        </is>
      </c>
    </row>
    <row r="25">
      <c r="E25" t="inlineStr">
        <is>
          <t>Robbery</t>
        </is>
      </c>
      <c r="F25" t="inlineStr">
        <is>
          <t>Summary Jurisdiction Offences</t>
        </is>
      </c>
      <c r="J25" t="inlineStr">
        <is>
          <t>Hilberbrant Tillett PC 2638</t>
        </is>
      </c>
    </row>
    <row r="26">
      <c r="E26" t="inlineStr">
        <is>
          <t>Wounding</t>
        </is>
      </c>
      <c r="F26" t="inlineStr">
        <is>
          <t>Summary Jurisdiction Offences</t>
        </is>
      </c>
      <c r="J26" t="inlineStr">
        <is>
          <t>Hubert Bermudez DC 1440</t>
        </is>
      </c>
    </row>
    <row r="27">
      <c r="E27" t="inlineStr">
        <is>
          <t>Damage to</t>
        </is>
      </c>
      <c r="F27" t="inlineStr">
        <is>
          <t>Summary Jurisdiction Offences</t>
        </is>
      </c>
      <c r="J27" t="inlineStr">
        <is>
          <t>Ian Ferrera PC 2743</t>
        </is>
      </c>
    </row>
    <row r="28">
      <c r="E28" t="inlineStr">
        <is>
          <t>Obtaining Property</t>
        </is>
      </c>
      <c r="F28" t="inlineStr">
        <is>
          <t>Summary Jurisdiction Offences</t>
        </is>
      </c>
      <c r="J28" t="inlineStr">
        <is>
          <t>John Bruhier PC 253</t>
        </is>
      </c>
    </row>
    <row r="29">
      <c r="J29" t="inlineStr">
        <is>
          <t>Justin Mcfoy PC 2861</t>
        </is>
      </c>
    </row>
    <row r="30">
      <c r="J30" t="inlineStr">
        <is>
          <t>Keeshawn Gallego PC 1636</t>
        </is>
      </c>
    </row>
    <row r="31">
      <c r="J31" t="inlineStr">
        <is>
          <t>Kersha Lacayo PC 2501</t>
        </is>
      </c>
    </row>
    <row r="32">
      <c r="J32" t="inlineStr">
        <is>
          <t>Kevin Rodriguez PC 2447</t>
        </is>
      </c>
    </row>
    <row r="33">
      <c r="J33" t="inlineStr">
        <is>
          <t>Leonel Perez PC 1786</t>
        </is>
      </c>
    </row>
    <row r="34">
      <c r="J34" t="inlineStr">
        <is>
          <t>Leticia Moguel SGT 824</t>
        </is>
      </c>
    </row>
    <row r="35">
      <c r="J35" t="inlineStr">
        <is>
          <t>Nigel Castillo PC #593</t>
        </is>
      </c>
    </row>
    <row r="36">
      <c r="J36" t="inlineStr">
        <is>
          <t>Oswald Young PC 2656</t>
        </is>
      </c>
    </row>
    <row r="37">
      <c r="J37" t="inlineStr">
        <is>
          <t>Roy Flores PC 950</t>
        </is>
      </c>
    </row>
    <row r="38">
      <c r="J38" t="inlineStr">
        <is>
          <t>Shamlit Chan PC 2183</t>
        </is>
      </c>
    </row>
    <row r="39">
      <c r="J39" t="inlineStr">
        <is>
          <t>Yann S. Chin DC 1454</t>
        </is>
      </c>
    </row>
  </sheetData>
  <mergeCells count="1">
    <mergeCell ref="A1:R1"/>
  </mergeCell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3" customWidth="1" min="3" max="3"/>
    <col width="13" customWidth="1" min="4" max="4"/>
    <col width="24" customWidth="1" min="5" max="5"/>
    <col width="13" customWidth="1" min="6" max="6"/>
    <col width="24" customWidth="1" min="7" max="7"/>
    <col width="24" customWidth="1" min="8" max="8"/>
    <col width="5" customWidth="1" min="9" max="9"/>
    <col width="6" customWidth="1" min="10" max="10"/>
    <col width="13" customWidth="1" min="11" max="11"/>
    <col width="28" customWidth="1" min="12" max="12"/>
    <col width="13" customWidth="1" min="13" max="13"/>
    <col width="40" customWidth="1" min="14" max="14"/>
    <col width="13" customWidth="1" min="15" max="15"/>
    <col width="30" customWidth="1" min="16" max="16"/>
    <col width="35" customWidth="1" min="17" max="17"/>
    <col width="20" customWidth="1" min="18" max="18"/>
    <col width="13" customWidth="1" min="19" max="19"/>
    <col width="13" customWidth="1" min="20" max="20"/>
  </cols>
  <sheetData>
    <row r="1">
      <c r="A1" s="17" t="inlineStr">
        <is>
          <t>CASE VIEW — Filtered live view of DataBase (read-only). Refresh by pressing F9.</t>
        </is>
      </c>
    </row>
    <row r="3">
      <c r="A3" s="7" t="inlineStr">
        <is>
          <t>Filter by Outcome:</t>
        </is>
      </c>
      <c r="B3" t="inlineStr"/>
    </row>
    <row r="6" ht="30" customHeight="1">
      <c r="A6" s="5" t="inlineStr">
        <is>
          <t>RowID</t>
        </is>
      </c>
      <c r="B6" s="5" t="inlineStr">
        <is>
          <t>CourtBookNo</t>
        </is>
      </c>
      <c r="C6" s="5" t="inlineStr">
        <is>
          <t>DateOfOccurence</t>
        </is>
      </c>
      <c r="D6" s="5" t="inlineStr">
        <is>
          <t>ArraignmentDate</t>
        </is>
      </c>
      <c r="E6" s="5" t="inlineStr">
        <is>
          <t>ArrestingOfficer</t>
        </is>
      </c>
      <c r="F6" s="5" t="inlineStr">
        <is>
          <t>Station</t>
        </is>
      </c>
      <c r="G6" s="5" t="inlineStr">
        <is>
          <t>ComplainantVictim</t>
        </is>
      </c>
      <c r="H6" s="5" t="inlineStr">
        <is>
          <t>Defendant</t>
        </is>
      </c>
      <c r="I6" s="5" t="inlineStr">
        <is>
          <t>Sex</t>
        </is>
      </c>
      <c r="J6" s="5" t="inlineStr">
        <is>
          <t>Age</t>
        </is>
      </c>
      <c r="K6" s="5" t="inlineStr">
        <is>
          <t>DOB</t>
        </is>
      </c>
      <c r="L6" s="5" t="inlineStr">
        <is>
          <t>Address</t>
        </is>
      </c>
      <c r="M6" s="5" t="inlineStr">
        <is>
          <t>CaseFileReceived</t>
        </is>
      </c>
      <c r="N6" s="5" t="inlineStr">
        <is>
          <t>Charge</t>
        </is>
      </c>
      <c r="O6" s="5" t="inlineStr">
        <is>
          <t>NextHearingDate</t>
        </is>
      </c>
      <c r="P6" s="5" t="inlineStr">
        <is>
          <t>Remark</t>
        </is>
      </c>
      <c r="Q6" s="5" t="inlineStr">
        <is>
          <t>Further Remark</t>
        </is>
      </c>
      <c r="R6" s="5" t="inlineStr">
        <is>
          <t>Outcome</t>
        </is>
      </c>
      <c r="S6" s="5" t="inlineStr">
        <is>
          <t>ConcludedDate</t>
        </is>
      </c>
      <c r="T6" s="5" t="inlineStr">
        <is>
          <t>EntryDate</t>
        </is>
      </c>
    </row>
    <row r="7">
      <c r="A7">
        <f>IFERROR(LET(db,tblDataBase,filt,IF(B3="",db[ConcludedDate]="",db[Outcome]=B3),result,FILTER(db,filt,"No matching cases"),HSTACK(SEQUENCE(ROWS(result)),result)),"DataBase is empty — add cases to the DataBase sheet first.")</f>
        <v/>
      </c>
    </row>
  </sheetData>
  <mergeCells count="1">
    <mergeCell ref="A1:T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</cols>
  <sheetData>
    <row r="1" ht="36" customHeight="1">
      <c r="A1" s="18" t="inlineStr">
        <is>
          <t>STATISTICS DASHBOARD</t>
        </is>
      </c>
    </row>
    <row r="3">
      <c r="A3" s="19" t="inlineStr">
        <is>
          <t>All figures below pull live from tblDataBase / tblReturns — no manual entry required.</t>
        </is>
      </c>
    </row>
    <row r="5" ht="24" customHeight="1">
      <c r="A5" s="20" t="inlineStr">
        <is>
          <t>Metric</t>
        </is>
      </c>
      <c r="B5" s="20" t="inlineStr">
        <is>
          <t>Value</t>
        </is>
      </c>
    </row>
    <row r="6">
      <c r="A6" s="7" t="inlineStr">
        <is>
          <t>Total Cases in DataBase</t>
        </is>
      </c>
      <c r="B6" s="21">
        <f>ROWS(tblDataBase)-1</f>
        <v/>
      </c>
    </row>
    <row r="7">
      <c r="A7" s="7" t="inlineStr">
        <is>
          <t>Active Cases (not concluded)</t>
        </is>
      </c>
      <c r="B7" s="21">
        <f>COUNTIF(tblDataBase[ConcludedDate],"")</f>
        <v/>
      </c>
    </row>
    <row r="8">
      <c r="A8" s="7" t="inlineStr">
        <is>
          <t>Convicted (all time)</t>
        </is>
      </c>
      <c r="B8" s="21">
        <f>COUNTIF(tblDataBase[Outcome],"Convicted")</f>
        <v/>
      </c>
    </row>
    <row r="9">
      <c r="A9" s="7" t="inlineStr">
        <is>
          <t>Dismissed (all time)</t>
        </is>
      </c>
      <c r="B9" s="21">
        <f>COUNTIF(tblDataBase[Outcome],"Dismissed")</f>
        <v/>
      </c>
    </row>
    <row r="10">
      <c r="A10" s="7" t="inlineStr">
        <is>
          <t>Struck Out (all time)</t>
        </is>
      </c>
      <c r="B10" s="21">
        <f>COUNTIF(tblDataBase[Outcome],"Struck Out")</f>
        <v/>
      </c>
    </row>
    <row r="11">
      <c r="A11" s="7" t="inlineStr">
        <is>
          <t>Withdrawn (all time)</t>
        </is>
      </c>
      <c r="B11" s="21">
        <f>COUNTIF(tblDataBase[Outcome],"Withdrawn")</f>
        <v/>
      </c>
    </row>
    <row r="12">
      <c r="A12" s="7" t="inlineStr">
        <is>
          <t>San Pedro cases</t>
        </is>
      </c>
      <c r="B12" s="21">
        <f>COUNTIF(tblDataBase[Station],"San Pedro")</f>
        <v/>
      </c>
    </row>
    <row r="13">
      <c r="A13" s="7" t="inlineStr">
        <is>
          <t>Caye Caulker cases</t>
        </is>
      </c>
      <c r="B13" s="21">
        <f>COUNTIF(tblDataBase[Station],"Caye Caulker")</f>
        <v/>
      </c>
    </row>
    <row r="16" ht="24" customHeight="1">
      <c r="A16" s="1" t="inlineStr">
        <is>
          <t>Outcome</t>
        </is>
      </c>
      <c r="B16" s="1" t="inlineStr">
        <is>
          <t>Count</t>
        </is>
      </c>
      <c r="C16" s="1" t="inlineStr">
        <is>
          <t>% of Total</t>
        </is>
      </c>
    </row>
    <row r="17">
      <c r="A17" t="inlineStr">
        <is>
          <t>P.I Conducted</t>
        </is>
      </c>
      <c r="B17">
        <f>COUNTIF(tblDataBase[Outcome],"P.I Conducted")</f>
        <v/>
      </c>
      <c r="C17" s="22">
        <f>IFERROR(B17/SUM(B17:B28),0)</f>
        <v/>
      </c>
    </row>
    <row r="18">
      <c r="A18" t="inlineStr">
        <is>
          <t>Struck Out</t>
        </is>
      </c>
      <c r="B18">
        <f>COUNTIF(tblDataBase[Outcome],"Struck Out")</f>
        <v/>
      </c>
      <c r="C18" s="22">
        <f>IFERROR(B18/SUM(B17:B28),0)</f>
        <v/>
      </c>
    </row>
    <row r="19">
      <c r="A19" t="inlineStr">
        <is>
          <t>Bond Over</t>
        </is>
      </c>
      <c r="B19">
        <f>COUNTIF(tblDataBase[Outcome],"Bond Over")</f>
        <v/>
      </c>
      <c r="C19" s="22">
        <f>IFERROR(B19/SUM(B17:B28),0)</f>
        <v/>
      </c>
    </row>
    <row r="20">
      <c r="A20" t="inlineStr">
        <is>
          <t>Withdrawn</t>
        </is>
      </c>
      <c r="B20">
        <f>COUNTIF(tblDataBase[Outcome],"Withdrawn")</f>
        <v/>
      </c>
      <c r="C20" s="22">
        <f>IFERROR(B20/SUM(B17:B28),0)</f>
        <v/>
      </c>
    </row>
    <row r="21">
      <c r="A21" t="inlineStr">
        <is>
          <t>Dismissed</t>
        </is>
      </c>
      <c r="B21">
        <f>COUNTIF(tblDataBase[Outcome],"Dismissed")</f>
        <v/>
      </c>
      <c r="C21" s="22">
        <f>IFERROR(B21/SUM(B17:B28),0)</f>
        <v/>
      </c>
    </row>
    <row r="22">
      <c r="A22" t="inlineStr">
        <is>
          <t>Conditional Discharged</t>
        </is>
      </c>
      <c r="B22">
        <f>COUNTIF(tblDataBase[Outcome],"Conditional Discharged")</f>
        <v/>
      </c>
      <c r="C22" s="22">
        <f>IFERROR(B22/SUM(B17:B28),0)</f>
        <v/>
      </c>
    </row>
    <row r="23">
      <c r="A23" t="inlineStr">
        <is>
          <t>Convicted</t>
        </is>
      </c>
      <c r="B23">
        <f>COUNTIF(tblDataBase[Outcome],"Convicted")</f>
        <v/>
      </c>
      <c r="C23" s="22">
        <f>IFERROR(B23/SUM(B17:B28),0)</f>
        <v/>
      </c>
    </row>
    <row r="24">
      <c r="A24" t="inlineStr">
        <is>
          <t>Acquitted</t>
        </is>
      </c>
      <c r="B24">
        <f>COUNTIF(tblDataBase[Outcome],"Acquitted")</f>
        <v/>
      </c>
      <c r="C24" s="22">
        <f>IFERROR(B24/SUM(B17:B28),0)</f>
        <v/>
      </c>
    </row>
    <row r="25">
      <c r="A25" t="inlineStr">
        <is>
          <t>Adjourned</t>
        </is>
      </c>
      <c r="B25">
        <f>COUNTIF(tblDataBase[Outcome],"Adjourned")</f>
        <v/>
      </c>
      <c r="C25" s="22">
        <f>IFERROR(B25/SUM(B17:B28),0)</f>
        <v/>
      </c>
    </row>
    <row r="26">
      <c r="A26" t="inlineStr">
        <is>
          <t>Set for trial</t>
        </is>
      </c>
      <c r="B26">
        <f>COUNTIF(tblDataBase[Outcome],"Set for trial")</f>
        <v/>
      </c>
      <c r="C26" s="22">
        <f>IFERROR(B26/SUM(B17:B28),0)</f>
        <v/>
      </c>
    </row>
    <row r="27">
      <c r="A27" t="inlineStr">
        <is>
          <t>Set for P.I.</t>
        </is>
      </c>
      <c r="B27">
        <f>COUNTIF(tblDataBase[Outcome],"Set for P.I.")</f>
        <v/>
      </c>
      <c r="C27" s="22">
        <f>IFERROR(B27/SUM(B17:B28),0)</f>
        <v/>
      </c>
    </row>
    <row r="28">
      <c r="A28" t="inlineStr">
        <is>
          <t>Bench Warrant</t>
        </is>
      </c>
      <c r="B28">
        <f>COUNTIF(tblDataBase[Outcome],"Bench Warrant")</f>
        <v/>
      </c>
      <c r="C28" s="22">
        <f>IFERROR(B28/SUM(B17:B28),0)</f>
        <v/>
      </c>
    </row>
  </sheetData>
  <mergeCells count="2">
    <mergeCell ref="A3:N3"/>
    <mergeCell ref="A1:N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24" customWidth="1" min="4" max="4"/>
    <col width="13" customWidth="1" min="5" max="5"/>
    <col width="24" customWidth="1" min="6" max="6"/>
    <col width="24" customWidth="1" min="7" max="7"/>
    <col width="5" customWidth="1" min="8" max="8"/>
    <col width="6" customWidth="1" min="9" max="9"/>
    <col width="13" customWidth="1" min="10" max="10"/>
    <col width="28" customWidth="1" min="11" max="11"/>
    <col width="13" customWidth="1" min="12" max="12"/>
    <col width="40" customWidth="1" min="13" max="13"/>
    <col width="13" customWidth="1" min="14" max="14"/>
    <col width="30" customWidth="1" min="15" max="15"/>
    <col width="35" customWidth="1" min="16" max="16"/>
    <col width="20" customWidth="1" min="17" max="17"/>
    <col width="13" customWidth="1" min="18" max="18"/>
    <col width="13" customWidth="1" min="19" max="19"/>
    <col width="13" customWidth="1" min="20" max="20"/>
  </cols>
  <sheetData>
    <row r="1" ht="28" customHeight="1">
      <c r="A1" s="23" t="inlineStr">
        <is>
          <t>2026 ANNUAL RETURNS — Disposed/Concluded Cases</t>
        </is>
      </c>
    </row>
    <row r="3">
      <c r="A3" s="4" t="inlineStr">
        <is>
          <t>Paste or import concluded cases here for 2026 annual statistical reporting.</t>
        </is>
      </c>
    </row>
    <row r="5" ht="30" customHeight="1">
      <c r="A5" s="24" t="inlineStr">
        <is>
          <t>CourtBookNo</t>
        </is>
      </c>
      <c r="B5" s="24" t="inlineStr">
        <is>
          <t>DateOfOccurence</t>
        </is>
      </c>
      <c r="C5" s="24" t="inlineStr">
        <is>
          <t>ArraignmentDate</t>
        </is>
      </c>
      <c r="D5" s="24" t="inlineStr">
        <is>
          <t>ArrestingOfficer</t>
        </is>
      </c>
      <c r="E5" s="24" t="inlineStr">
        <is>
          <t>Station</t>
        </is>
      </c>
      <c r="F5" s="24" t="inlineStr">
        <is>
          <t>ComplainantVictim</t>
        </is>
      </c>
      <c r="G5" s="24" t="inlineStr">
        <is>
          <t>Defendant</t>
        </is>
      </c>
      <c r="H5" s="24" t="inlineStr">
        <is>
          <t>Sex</t>
        </is>
      </c>
      <c r="I5" s="24" t="inlineStr">
        <is>
          <t>Age</t>
        </is>
      </c>
      <c r="J5" s="24" t="inlineStr">
        <is>
          <t>DOB</t>
        </is>
      </c>
      <c r="K5" s="24" t="inlineStr">
        <is>
          <t>Address</t>
        </is>
      </c>
      <c r="L5" s="24" t="inlineStr">
        <is>
          <t>CaseFileReceived</t>
        </is>
      </c>
      <c r="M5" s="24" t="inlineStr">
        <is>
          <t>Charge</t>
        </is>
      </c>
      <c r="N5" s="24" t="inlineStr">
        <is>
          <t>NextHearingDate</t>
        </is>
      </c>
      <c r="O5" s="24" t="inlineStr">
        <is>
          <t>Remark</t>
        </is>
      </c>
      <c r="P5" s="24" t="inlineStr">
        <is>
          <t>Further Remark</t>
        </is>
      </c>
      <c r="Q5" s="24" t="inlineStr">
        <is>
          <t>Outcome</t>
        </is>
      </c>
      <c r="R5" s="24" t="inlineStr">
        <is>
          <t>ConcludedDate</t>
        </is>
      </c>
      <c r="S5" s="24" t="inlineStr">
        <is>
          <t>EntryDate</t>
        </is>
      </c>
      <c r="T5" s="24" t="inlineStr">
        <is>
          <t>DateUpdated</t>
        </is>
      </c>
    </row>
  </sheetData>
  <mergeCells count="1">
    <mergeCell ref="A1:T1"/>
  </mergeCells>
  <dataValidations count="3">
    <dataValidation sqref="E7:E50000" showDropDown="0" showInputMessage="0" showErrorMessage="1" allowBlank="1" errorTitle="Invalid Input" error="Please select from the list." type="list">
      <formula1>"San Pedro,Caye Caulker"</formula1>
    </dataValidation>
    <dataValidation sqref="H7:H50000" showDropDown="0" showInputMessage="0" showErrorMessage="1" allowBlank="1" errorTitle="Invalid Input" error="Please select from the list." type="list">
      <formula1>"M,F"</formula1>
    </dataValidation>
    <dataValidation sqref="Q7:Q50000" showDropDown="0" showInputMessage="0" showErrorMessage="1" allowBlank="1" errorTitle="Invalid Input" error="Please select from the list." type="list">
      <formula1>"P.I Conducted,Struck Out,Bond Over,Withdrawn,Dismissed,Conditional Discharged,Convicted,Acquitted,Adjourned,Set for trial,Set for P.I.,Bench Warrant"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CourtCIMSV4 Template Generator</dc:creator>
  <dc:title>CourtCIMS Blank Template</dc:title>
  <dc:subject>Court Case Information Management System</dc:subject>
  <dcterms:created xsi:type="dcterms:W3CDTF">2026-05-12T15:09:03Z</dcterms:created>
  <dcterms:modified xsi:type="dcterms:W3CDTF">2026-05-12T15:09:03Z</dcterms:modified>
</cp:coreProperties>
</file>